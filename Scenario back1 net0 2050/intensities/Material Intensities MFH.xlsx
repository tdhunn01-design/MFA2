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back1 net0 2050/intensities/"/>
    </mc:Choice>
  </mc:AlternateContent>
  <xr:revisionPtr revIDLastSave="0" documentId="13_ncr:1_{BBF49D08-4B21-E648-9C18-47244E38FFFF}" xr6:coauthVersionLast="47" xr6:coauthVersionMax="47" xr10:uidLastSave="{00000000-0000-0000-0000-000000000000}"/>
  <bookViews>
    <workbookView xWindow="0" yWindow="500" windowWidth="28800" windowHeight="16520" xr2:uid="{69FAC69C-FC93-984C-ADE6-B504FB768A0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N5" i="1" s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M6" i="1"/>
  <c r="N6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M7" i="1"/>
  <c r="N7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M8" i="1"/>
  <c r="N8" i="1" s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M9" i="1"/>
  <c r="N2" i="1"/>
  <c r="N9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N4" i="1"/>
  <c r="D3" i="1" s="1"/>
  <c r="D4" i="1" s="1"/>
  <c r="N3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</calcChain>
</file>

<file path=xl/sharedStrings.xml><?xml version="1.0" encoding="utf-8"?>
<sst xmlns="http://schemas.openxmlformats.org/spreadsheetml/2006/main" count="20" uniqueCount="12">
  <si>
    <t>year</t>
  </si>
  <si>
    <t>copper</t>
  </si>
  <si>
    <t xml:space="preserve">aluminium </t>
  </si>
  <si>
    <t>plastics</t>
  </si>
  <si>
    <t xml:space="preserve"> glass</t>
  </si>
  <si>
    <t>steel</t>
  </si>
  <si>
    <t>wood</t>
  </si>
  <si>
    <t xml:space="preserve"> brick</t>
  </si>
  <si>
    <t>concrete</t>
  </si>
  <si>
    <t>yearly reduction</t>
  </si>
  <si>
    <t>total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</si>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</sst>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2"/>
      <color theme="1"/>
      <name val="Aptos Narrow"/>
      <family val="2"/>
      <scheme val="minor"/>
    </font>
    <font>
      <sz val="12"/>
      <color rgb="FFFF38A2"/>
      <name val="Menlo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10" fontId="3" fillId="0" borderId="0" xfId="0" applyNumberFormat="1" applyFont="1"/>
    <xf numFmtId="165" fontId="0" fillId="0" borderId="0" xfId="0" applyNumberFormat="1"/>
    <xf numFmtId="0" fontId="2" fillId="0" borderId="0" xfId="0" quotePrefix="1" applyFont="1"/>
    <xf numFmtId="0" fontId="4" fillId="0" borderId="4" xfId="0" applyFont="1" applyBorder="1"/>
    <xf numFmtId="0" fontId="4" fillId="0" borderId="5" xfId="0" applyFont="1" applyBorder="1"/>
    <xf numFmtId="0" fontId="4" fillId="0" borderId="5" xfId="0" quotePrefix="1" applyFont="1" applyBorder="1"/>
    <xf numFmtId="0" fontId="4" fillId="0" borderId="6" xfId="0" applyFont="1" applyBorder="1"/>
    <xf numFmtId="0" fontId="2" fillId="0" borderId="7" xfId="0" applyFont="1" applyBorder="1"/>
    <xf numFmtId="164" fontId="2" fillId="0" borderId="0" xfId="0" applyNumberFormat="1" applyFont="1"/>
    <xf numFmtId="164" fontId="2" fillId="0" borderId="2" xfId="0" applyNumberFormat="1" applyFont="1" applyBorder="1"/>
    <xf numFmtId="164" fontId="0" fillId="0" borderId="0" xfId="0" applyNumberFormat="1"/>
    <xf numFmtId="164" fontId="0" fillId="0" borderId="2" xfId="0" applyNumberFormat="1" applyBorder="1"/>
    <xf numFmtId="0" fontId="2" fillId="0" borderId="8" xfId="0" applyFont="1" applyBorder="1"/>
    <xf numFmtId="164" fontId="0" fillId="0" borderId="1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7F94-8D98-C541-A99C-5F324B5B0E2F}">
  <dimension ref="A1:N77"/>
  <sheetViews>
    <sheetView tabSelected="1" zoomScale="85" workbookViewId="0">
      <selection activeCell="M18" sqref="M18"/>
    </sheetView>
  </sheetViews>
  <sheetFormatPr baseColWidth="10" defaultRowHeight="16" x14ac:dyDescent="0.2"/>
  <cols>
    <col min="1" max="1" width="12.83203125" style="3" customWidth="1"/>
    <col min="2" max="9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7" t="s">
        <v>0</v>
      </c>
      <c r="B1" s="8" t="s">
        <v>8</v>
      </c>
      <c r="C1" s="8" t="s">
        <v>7</v>
      </c>
      <c r="D1" s="9" t="s">
        <v>6</v>
      </c>
      <c r="E1" s="9" t="s">
        <v>5</v>
      </c>
      <c r="F1" s="8" t="s">
        <v>4</v>
      </c>
      <c r="G1" s="9" t="s">
        <v>3</v>
      </c>
      <c r="H1" s="9" t="s">
        <v>2</v>
      </c>
      <c r="I1" s="10" t="s">
        <v>1</v>
      </c>
      <c r="L1" s="3" t="s">
        <v>10</v>
      </c>
      <c r="M1" s="3" t="s">
        <v>9</v>
      </c>
      <c r="N1" s="3" t="s">
        <v>11</v>
      </c>
    </row>
    <row r="2" spans="1:14" x14ac:dyDescent="0.2">
      <c r="A2" s="11">
        <v>2025</v>
      </c>
      <c r="B2" s="12">
        <v>932.54</v>
      </c>
      <c r="C2" s="12">
        <v>268.75</v>
      </c>
      <c r="D2" s="12">
        <v>9.9</v>
      </c>
      <c r="E2" s="12">
        <v>52.6</v>
      </c>
      <c r="F2" s="12">
        <v>3.1</v>
      </c>
      <c r="G2" s="12">
        <v>1.22</v>
      </c>
      <c r="H2" s="12">
        <v>0.5</v>
      </c>
      <c r="I2" s="13">
        <v>0.18</v>
      </c>
      <c r="K2" s="3" t="s">
        <v>8</v>
      </c>
      <c r="L2" s="4">
        <v>0.95</v>
      </c>
      <c r="M2" s="2">
        <f>L2/75</f>
        <v>1.2666666666666666E-2</v>
      </c>
      <c r="N2" s="5">
        <f>B2*M2</f>
        <v>11.812173333333332</v>
      </c>
    </row>
    <row r="3" spans="1:14" x14ac:dyDescent="0.2">
      <c r="A3" s="11">
        <v>2026</v>
      </c>
      <c r="B3" s="14">
        <f>B2-$N$2</f>
        <v>920.7278266666666</v>
      </c>
      <c r="C3" s="14">
        <f>C2-$N$3</f>
        <v>267.67500000000001</v>
      </c>
      <c r="D3" s="14">
        <f>D2-$N$4</f>
        <v>9.8076000000000008</v>
      </c>
      <c r="E3" s="14">
        <f>E2-$N$5</f>
        <v>52.073999999999998</v>
      </c>
      <c r="F3" s="14">
        <f>F2-$N$6</f>
        <v>3.0876000000000001</v>
      </c>
      <c r="G3" s="14">
        <f>G2-$N$7</f>
        <v>1.21512</v>
      </c>
      <c r="H3" s="14">
        <f>H2-$N$8</f>
        <v>0.498</v>
      </c>
      <c r="I3" s="15">
        <f>I2-$N$9</f>
        <v>0.17927999999999999</v>
      </c>
      <c r="K3" s="3" t="s">
        <v>7</v>
      </c>
      <c r="L3" s="4">
        <v>0.3</v>
      </c>
      <c r="M3" s="2">
        <f t="shared" ref="M3:M9" si="0">L3/75</f>
        <v>4.0000000000000001E-3</v>
      </c>
      <c r="N3" s="5">
        <f>C2*M3</f>
        <v>1.075</v>
      </c>
    </row>
    <row r="4" spans="1:14" x14ac:dyDescent="0.2">
      <c r="A4" s="11">
        <v>2027</v>
      </c>
      <c r="B4" s="14">
        <f t="shared" ref="B4:B67" si="1">B3-$N$2</f>
        <v>908.91565333333324</v>
      </c>
      <c r="C4" s="14">
        <f t="shared" ref="C4:C67" si="2">C3-$N$3</f>
        <v>266.60000000000002</v>
      </c>
      <c r="D4" s="14">
        <f t="shared" ref="D4:D67" si="3">D3-$N$4</f>
        <v>9.7152000000000012</v>
      </c>
      <c r="E4" s="14">
        <f t="shared" ref="E4:E67" si="4">E3-$N$5</f>
        <v>51.547999999999995</v>
      </c>
      <c r="F4" s="14">
        <f t="shared" ref="F4:F67" si="5">F3-$N$6</f>
        <v>3.0752000000000002</v>
      </c>
      <c r="G4" s="14">
        <f t="shared" ref="G4:G67" si="6">G3-$N$7</f>
        <v>1.21024</v>
      </c>
      <c r="H4" s="14">
        <f t="shared" ref="H4:H67" si="7">H3-$N$8</f>
        <v>0.496</v>
      </c>
      <c r="I4" s="15">
        <f t="shared" ref="I4:I67" si="8">I3-$N$9</f>
        <v>0.17856</v>
      </c>
      <c r="K4" s="6" t="s">
        <v>6</v>
      </c>
      <c r="L4" s="4">
        <v>0.7</v>
      </c>
      <c r="M4" s="2">
        <f t="shared" si="0"/>
        <v>9.3333333333333324E-3</v>
      </c>
      <c r="N4" s="5">
        <f>D2*M4</f>
        <v>9.2399999999999996E-2</v>
      </c>
    </row>
    <row r="5" spans="1:14" x14ac:dyDescent="0.2">
      <c r="A5" s="11">
        <v>2028</v>
      </c>
      <c r="B5" s="14">
        <f t="shared" si="1"/>
        <v>897.10347999999988</v>
      </c>
      <c r="C5" s="14">
        <f t="shared" si="2"/>
        <v>265.52500000000003</v>
      </c>
      <c r="D5" s="14">
        <f t="shared" si="3"/>
        <v>9.6228000000000016</v>
      </c>
      <c r="E5" s="14">
        <f t="shared" si="4"/>
        <v>51.021999999999991</v>
      </c>
      <c r="F5" s="14">
        <f t="shared" si="5"/>
        <v>3.0628000000000002</v>
      </c>
      <c r="G5" s="14">
        <f t="shared" si="6"/>
        <v>1.20536</v>
      </c>
      <c r="H5" s="14">
        <f t="shared" si="7"/>
        <v>0.49399999999999999</v>
      </c>
      <c r="I5" s="15">
        <f t="shared" si="8"/>
        <v>0.17784</v>
      </c>
      <c r="K5" s="6" t="s">
        <v>5</v>
      </c>
      <c r="L5" s="4">
        <v>0.75</v>
      </c>
      <c r="M5" s="2">
        <f t="shared" si="0"/>
        <v>0.01</v>
      </c>
      <c r="N5" s="5">
        <f>E2*M5</f>
        <v>0.52600000000000002</v>
      </c>
    </row>
    <row r="6" spans="1:14" x14ac:dyDescent="0.2">
      <c r="A6" s="11">
        <v>2029</v>
      </c>
      <c r="B6" s="14">
        <f t="shared" si="1"/>
        <v>885.29130666666651</v>
      </c>
      <c r="C6" s="14">
        <f t="shared" si="2"/>
        <v>264.45000000000005</v>
      </c>
      <c r="D6" s="14">
        <f t="shared" si="3"/>
        <v>9.530400000000002</v>
      </c>
      <c r="E6" s="14">
        <f t="shared" si="4"/>
        <v>50.495999999999988</v>
      </c>
      <c r="F6" s="14">
        <f t="shared" si="5"/>
        <v>3.0504000000000002</v>
      </c>
      <c r="G6" s="14">
        <f t="shared" si="6"/>
        <v>1.20048</v>
      </c>
      <c r="H6" s="14">
        <f t="shared" si="7"/>
        <v>0.49199999999999999</v>
      </c>
      <c r="I6" s="15">
        <f t="shared" si="8"/>
        <v>0.17712</v>
      </c>
      <c r="K6" s="3" t="s">
        <v>4</v>
      </c>
      <c r="L6" s="4">
        <v>0.3</v>
      </c>
      <c r="M6" s="2">
        <f t="shared" si="0"/>
        <v>4.0000000000000001E-3</v>
      </c>
      <c r="N6" s="5">
        <f>F2*M6</f>
        <v>1.2400000000000001E-2</v>
      </c>
    </row>
    <row r="7" spans="1:14" x14ac:dyDescent="0.2">
      <c r="A7" s="11">
        <v>2030</v>
      </c>
      <c r="B7" s="14">
        <f t="shared" si="1"/>
        <v>873.47913333333315</v>
      </c>
      <c r="C7" s="14">
        <f t="shared" si="2"/>
        <v>263.37500000000006</v>
      </c>
      <c r="D7" s="14">
        <f t="shared" si="3"/>
        <v>9.4380000000000024</v>
      </c>
      <c r="E7" s="14">
        <f t="shared" si="4"/>
        <v>49.969999999999985</v>
      </c>
      <c r="F7" s="14">
        <f t="shared" si="5"/>
        <v>3.0380000000000003</v>
      </c>
      <c r="G7" s="14">
        <f t="shared" si="6"/>
        <v>1.1956</v>
      </c>
      <c r="H7" s="14">
        <f t="shared" si="7"/>
        <v>0.49</v>
      </c>
      <c r="I7" s="15">
        <f t="shared" si="8"/>
        <v>0.1764</v>
      </c>
      <c r="K7" s="6" t="s">
        <v>3</v>
      </c>
      <c r="L7" s="4">
        <v>0.3</v>
      </c>
      <c r="M7" s="2">
        <f t="shared" si="0"/>
        <v>4.0000000000000001E-3</v>
      </c>
      <c r="N7" s="5">
        <f>G2*M7</f>
        <v>4.8799999999999998E-3</v>
      </c>
    </row>
    <row r="8" spans="1:14" x14ac:dyDescent="0.2">
      <c r="A8" s="11">
        <v>2031</v>
      </c>
      <c r="B8" s="14">
        <f t="shared" si="1"/>
        <v>861.66695999999979</v>
      </c>
      <c r="C8" s="14">
        <f t="shared" si="2"/>
        <v>262.30000000000007</v>
      </c>
      <c r="D8" s="14">
        <f t="shared" si="3"/>
        <v>9.3456000000000028</v>
      </c>
      <c r="E8" s="14">
        <f t="shared" si="4"/>
        <v>49.443999999999981</v>
      </c>
      <c r="F8" s="14">
        <f t="shared" si="5"/>
        <v>3.0256000000000003</v>
      </c>
      <c r="G8" s="14">
        <f t="shared" si="6"/>
        <v>1.19072</v>
      </c>
      <c r="H8" s="14">
        <f t="shared" si="7"/>
        <v>0.48799999999999999</v>
      </c>
      <c r="I8" s="15">
        <f t="shared" si="8"/>
        <v>0.17568</v>
      </c>
      <c r="K8" s="6" t="s">
        <v>2</v>
      </c>
      <c r="L8" s="4">
        <v>0.3</v>
      </c>
      <c r="M8" s="2">
        <f t="shared" si="0"/>
        <v>4.0000000000000001E-3</v>
      </c>
      <c r="N8" s="5">
        <f>H2*M8</f>
        <v>2E-3</v>
      </c>
    </row>
    <row r="9" spans="1:14" x14ac:dyDescent="0.2">
      <c r="A9" s="11">
        <v>2032</v>
      </c>
      <c r="B9" s="14">
        <f t="shared" si="1"/>
        <v>849.85478666666643</v>
      </c>
      <c r="C9" s="14">
        <f t="shared" si="2"/>
        <v>261.22500000000008</v>
      </c>
      <c r="D9" s="14">
        <f t="shared" si="3"/>
        <v>9.2532000000000032</v>
      </c>
      <c r="E9" s="14">
        <f t="shared" si="4"/>
        <v>48.917999999999978</v>
      </c>
      <c r="F9" s="14">
        <f t="shared" si="5"/>
        <v>3.0132000000000003</v>
      </c>
      <c r="G9" s="14">
        <f t="shared" si="6"/>
        <v>1.18584</v>
      </c>
      <c r="H9" s="14">
        <f t="shared" si="7"/>
        <v>0.48599999999999999</v>
      </c>
      <c r="I9" s="15">
        <f t="shared" si="8"/>
        <v>0.17496</v>
      </c>
      <c r="K9" s="3" t="s">
        <v>1</v>
      </c>
      <c r="L9" s="4">
        <v>0.3</v>
      </c>
      <c r="M9" s="2">
        <f t="shared" si="0"/>
        <v>4.0000000000000001E-3</v>
      </c>
      <c r="N9" s="5">
        <f>I2*M9</f>
        <v>7.1999999999999994E-4</v>
      </c>
    </row>
    <row r="10" spans="1:14" x14ac:dyDescent="0.2">
      <c r="A10" s="11">
        <v>2033</v>
      </c>
      <c r="B10" s="14">
        <f t="shared" si="1"/>
        <v>838.04261333333307</v>
      </c>
      <c r="C10" s="14">
        <f t="shared" si="2"/>
        <v>260.15000000000009</v>
      </c>
      <c r="D10" s="14">
        <f t="shared" si="3"/>
        <v>9.1608000000000036</v>
      </c>
      <c r="E10" s="14">
        <f t="shared" si="4"/>
        <v>48.391999999999975</v>
      </c>
      <c r="F10" s="14">
        <f t="shared" si="5"/>
        <v>3.0008000000000004</v>
      </c>
      <c r="G10" s="14">
        <f t="shared" si="6"/>
        <v>1.18096</v>
      </c>
      <c r="H10" s="14">
        <f t="shared" si="7"/>
        <v>0.48399999999999999</v>
      </c>
      <c r="I10" s="15">
        <f t="shared" si="8"/>
        <v>0.17424000000000001</v>
      </c>
    </row>
    <row r="11" spans="1:14" x14ac:dyDescent="0.2">
      <c r="A11" s="11">
        <v>2034</v>
      </c>
      <c r="B11" s="14">
        <f t="shared" si="1"/>
        <v>826.2304399999997</v>
      </c>
      <c r="C11" s="14">
        <f t="shared" si="2"/>
        <v>259.0750000000001</v>
      </c>
      <c r="D11" s="14">
        <f t="shared" si="3"/>
        <v>9.068400000000004</v>
      </c>
      <c r="E11" s="14">
        <f t="shared" si="4"/>
        <v>47.865999999999971</v>
      </c>
      <c r="F11" s="14">
        <f t="shared" si="5"/>
        <v>2.9884000000000004</v>
      </c>
      <c r="G11" s="14">
        <f t="shared" si="6"/>
        <v>1.17608</v>
      </c>
      <c r="H11" s="14">
        <f t="shared" si="7"/>
        <v>0.48199999999999998</v>
      </c>
      <c r="I11" s="15">
        <f t="shared" si="8"/>
        <v>0.17352000000000001</v>
      </c>
    </row>
    <row r="12" spans="1:14" x14ac:dyDescent="0.2">
      <c r="A12" s="11">
        <v>2035</v>
      </c>
      <c r="B12" s="14">
        <f t="shared" si="1"/>
        <v>814.41826666666634</v>
      </c>
      <c r="C12" s="14">
        <f t="shared" si="2"/>
        <v>258.00000000000011</v>
      </c>
      <c r="D12" s="14">
        <f t="shared" si="3"/>
        <v>8.9760000000000044</v>
      </c>
      <c r="E12" s="14">
        <f t="shared" si="4"/>
        <v>47.339999999999968</v>
      </c>
      <c r="F12" s="14">
        <f t="shared" si="5"/>
        <v>2.9760000000000004</v>
      </c>
      <c r="G12" s="14">
        <f t="shared" si="6"/>
        <v>1.1712</v>
      </c>
      <c r="H12" s="14">
        <f t="shared" si="7"/>
        <v>0.48</v>
      </c>
      <c r="I12" s="15">
        <f t="shared" si="8"/>
        <v>0.17280000000000001</v>
      </c>
    </row>
    <row r="13" spans="1:14" x14ac:dyDescent="0.2">
      <c r="A13" s="11">
        <v>2036</v>
      </c>
      <c r="B13" s="14">
        <f t="shared" si="1"/>
        <v>802.60609333333298</v>
      </c>
      <c r="C13" s="14">
        <f t="shared" si="2"/>
        <v>256.92500000000013</v>
      </c>
      <c r="D13" s="14">
        <f t="shared" si="3"/>
        <v>8.8836000000000048</v>
      </c>
      <c r="E13" s="14">
        <f t="shared" si="4"/>
        <v>46.813999999999965</v>
      </c>
      <c r="F13" s="14">
        <f t="shared" si="5"/>
        <v>2.9636000000000005</v>
      </c>
      <c r="G13" s="14">
        <f t="shared" si="6"/>
        <v>1.16632</v>
      </c>
      <c r="H13" s="14">
        <f t="shared" si="7"/>
        <v>0.47799999999999998</v>
      </c>
      <c r="I13" s="15">
        <f t="shared" si="8"/>
        <v>0.17208000000000001</v>
      </c>
    </row>
    <row r="14" spans="1:14" x14ac:dyDescent="0.2">
      <c r="A14" s="11">
        <v>2037</v>
      </c>
      <c r="B14" s="14">
        <f t="shared" si="1"/>
        <v>790.79391999999962</v>
      </c>
      <c r="C14" s="14">
        <f t="shared" si="2"/>
        <v>255.85000000000014</v>
      </c>
      <c r="D14" s="14">
        <f t="shared" si="3"/>
        <v>8.7912000000000052</v>
      </c>
      <c r="E14" s="14">
        <f t="shared" si="4"/>
        <v>46.287999999999961</v>
      </c>
      <c r="F14" s="14">
        <f t="shared" si="5"/>
        <v>2.9512000000000005</v>
      </c>
      <c r="G14" s="14">
        <f t="shared" si="6"/>
        <v>1.16144</v>
      </c>
      <c r="H14" s="14">
        <f t="shared" si="7"/>
        <v>0.47599999999999998</v>
      </c>
      <c r="I14" s="15">
        <f t="shared" si="8"/>
        <v>0.17136000000000001</v>
      </c>
    </row>
    <row r="15" spans="1:14" x14ac:dyDescent="0.2">
      <c r="A15" s="11">
        <v>2038</v>
      </c>
      <c r="B15" s="14">
        <f t="shared" si="1"/>
        <v>778.98174666666625</v>
      </c>
      <c r="C15" s="14">
        <f t="shared" si="2"/>
        <v>254.77500000000015</v>
      </c>
      <c r="D15" s="14">
        <f t="shared" si="3"/>
        <v>8.6988000000000056</v>
      </c>
      <c r="E15" s="14">
        <f t="shared" si="4"/>
        <v>45.761999999999958</v>
      </c>
      <c r="F15" s="14">
        <f t="shared" si="5"/>
        <v>2.9388000000000005</v>
      </c>
      <c r="G15" s="14">
        <f t="shared" si="6"/>
        <v>1.15656</v>
      </c>
      <c r="H15" s="14">
        <f t="shared" si="7"/>
        <v>0.47399999999999998</v>
      </c>
      <c r="I15" s="15">
        <f t="shared" si="8"/>
        <v>0.17064000000000001</v>
      </c>
    </row>
    <row r="16" spans="1:14" x14ac:dyDescent="0.2">
      <c r="A16" s="11">
        <v>2039</v>
      </c>
      <c r="B16" s="14">
        <f t="shared" si="1"/>
        <v>767.16957333333289</v>
      </c>
      <c r="C16" s="14">
        <f t="shared" si="2"/>
        <v>253.70000000000016</v>
      </c>
      <c r="D16" s="14">
        <f t="shared" si="3"/>
        <v>8.606400000000006</v>
      </c>
      <c r="E16" s="14">
        <f t="shared" si="4"/>
        <v>45.235999999999954</v>
      </c>
      <c r="F16" s="14">
        <f t="shared" si="5"/>
        <v>2.9264000000000006</v>
      </c>
      <c r="G16" s="14">
        <f t="shared" si="6"/>
        <v>1.15168</v>
      </c>
      <c r="H16" s="14">
        <f t="shared" si="7"/>
        <v>0.47199999999999998</v>
      </c>
      <c r="I16" s="15">
        <f t="shared" si="8"/>
        <v>0.16992000000000002</v>
      </c>
    </row>
    <row r="17" spans="1:14" x14ac:dyDescent="0.2">
      <c r="A17" s="11">
        <v>2040</v>
      </c>
      <c r="B17" s="14">
        <f t="shared" si="1"/>
        <v>755.35739999999953</v>
      </c>
      <c r="C17" s="14">
        <f t="shared" si="2"/>
        <v>252.62500000000017</v>
      </c>
      <c r="D17" s="14">
        <f t="shared" si="3"/>
        <v>8.5140000000000065</v>
      </c>
      <c r="E17" s="14">
        <f t="shared" si="4"/>
        <v>44.709999999999951</v>
      </c>
      <c r="F17" s="14">
        <f t="shared" si="5"/>
        <v>2.9140000000000006</v>
      </c>
      <c r="G17" s="14">
        <f t="shared" si="6"/>
        <v>1.1468</v>
      </c>
      <c r="H17" s="14">
        <f t="shared" si="7"/>
        <v>0.47</v>
      </c>
      <c r="I17" s="15">
        <f t="shared" si="8"/>
        <v>0.16920000000000002</v>
      </c>
      <c r="L17" s="1"/>
    </row>
    <row r="18" spans="1:14" x14ac:dyDescent="0.2">
      <c r="A18" s="11">
        <v>2041</v>
      </c>
      <c r="B18" s="14">
        <f t="shared" si="1"/>
        <v>743.54522666666617</v>
      </c>
      <c r="C18" s="14">
        <f t="shared" si="2"/>
        <v>251.55000000000018</v>
      </c>
      <c r="D18" s="14">
        <f t="shared" si="3"/>
        <v>8.4216000000000069</v>
      </c>
      <c r="E18" s="14">
        <f t="shared" si="4"/>
        <v>44.183999999999948</v>
      </c>
      <c r="F18" s="14">
        <f t="shared" si="5"/>
        <v>2.9016000000000006</v>
      </c>
      <c r="G18" s="14">
        <f t="shared" si="6"/>
        <v>1.14192</v>
      </c>
      <c r="H18" s="14">
        <f t="shared" si="7"/>
        <v>0.46799999999999997</v>
      </c>
      <c r="I18" s="15">
        <f t="shared" si="8"/>
        <v>0.16848000000000002</v>
      </c>
    </row>
    <row r="19" spans="1:14" x14ac:dyDescent="0.2">
      <c r="A19" s="11">
        <v>2042</v>
      </c>
      <c r="B19" s="14">
        <f t="shared" si="1"/>
        <v>731.7330533333328</v>
      </c>
      <c r="C19" s="14">
        <f t="shared" si="2"/>
        <v>250.47500000000019</v>
      </c>
      <c r="D19" s="14">
        <f t="shared" si="3"/>
        <v>8.3292000000000073</v>
      </c>
      <c r="E19" s="14">
        <f t="shared" si="4"/>
        <v>43.657999999999944</v>
      </c>
      <c r="F19" s="14">
        <f t="shared" si="5"/>
        <v>2.8892000000000007</v>
      </c>
      <c r="G19" s="14">
        <f t="shared" si="6"/>
        <v>1.1370400000000001</v>
      </c>
      <c r="H19" s="14">
        <f t="shared" si="7"/>
        <v>0.46599999999999997</v>
      </c>
      <c r="I19" s="15">
        <f t="shared" si="8"/>
        <v>0.16776000000000002</v>
      </c>
      <c r="N19" s="1"/>
    </row>
    <row r="20" spans="1:14" x14ac:dyDescent="0.2">
      <c r="A20" s="11">
        <v>2043</v>
      </c>
      <c r="B20" s="14">
        <f t="shared" si="1"/>
        <v>719.92087999999944</v>
      </c>
      <c r="C20" s="14">
        <f t="shared" si="2"/>
        <v>249.4000000000002</v>
      </c>
      <c r="D20" s="14">
        <f t="shared" si="3"/>
        <v>8.2368000000000077</v>
      </c>
      <c r="E20" s="14">
        <f t="shared" si="4"/>
        <v>43.131999999999941</v>
      </c>
      <c r="F20" s="14">
        <f t="shared" si="5"/>
        <v>2.8768000000000007</v>
      </c>
      <c r="G20" s="14">
        <f t="shared" si="6"/>
        <v>1.1321600000000001</v>
      </c>
      <c r="H20" s="14">
        <f t="shared" si="7"/>
        <v>0.46399999999999997</v>
      </c>
      <c r="I20" s="15">
        <f t="shared" si="8"/>
        <v>0.16704000000000002</v>
      </c>
    </row>
    <row r="21" spans="1:14" x14ac:dyDescent="0.2">
      <c r="A21" s="11">
        <v>2044</v>
      </c>
      <c r="B21" s="14">
        <f t="shared" si="1"/>
        <v>708.10870666666608</v>
      </c>
      <c r="C21" s="14">
        <f t="shared" si="2"/>
        <v>248.32500000000022</v>
      </c>
      <c r="D21" s="14">
        <f t="shared" si="3"/>
        <v>8.1444000000000081</v>
      </c>
      <c r="E21" s="14">
        <f t="shared" si="4"/>
        <v>42.605999999999938</v>
      </c>
      <c r="F21" s="14">
        <f t="shared" si="5"/>
        <v>2.8644000000000007</v>
      </c>
      <c r="G21" s="14">
        <f t="shared" si="6"/>
        <v>1.1272800000000001</v>
      </c>
      <c r="H21" s="14">
        <f t="shared" si="7"/>
        <v>0.46199999999999997</v>
      </c>
      <c r="I21" s="15">
        <f t="shared" si="8"/>
        <v>0.16632000000000002</v>
      </c>
    </row>
    <row r="22" spans="1:14" x14ac:dyDescent="0.2">
      <c r="A22" s="11">
        <v>2045</v>
      </c>
      <c r="B22" s="14">
        <f t="shared" si="1"/>
        <v>696.29653333333272</v>
      </c>
      <c r="C22" s="14">
        <f t="shared" si="2"/>
        <v>247.25000000000023</v>
      </c>
      <c r="D22" s="14">
        <f t="shared" si="3"/>
        <v>8.0520000000000085</v>
      </c>
      <c r="E22" s="14">
        <f t="shared" si="4"/>
        <v>42.079999999999934</v>
      </c>
      <c r="F22" s="14">
        <f t="shared" si="5"/>
        <v>2.8520000000000008</v>
      </c>
      <c r="G22" s="14">
        <f t="shared" si="6"/>
        <v>1.1224000000000001</v>
      </c>
      <c r="H22" s="14">
        <f t="shared" si="7"/>
        <v>0.45999999999999996</v>
      </c>
      <c r="I22" s="15">
        <f t="shared" si="8"/>
        <v>0.16560000000000002</v>
      </c>
    </row>
    <row r="23" spans="1:14" x14ac:dyDescent="0.2">
      <c r="A23" s="11">
        <v>2046</v>
      </c>
      <c r="B23" s="14">
        <f t="shared" si="1"/>
        <v>684.48435999999936</v>
      </c>
      <c r="C23" s="14">
        <f t="shared" si="2"/>
        <v>246.17500000000024</v>
      </c>
      <c r="D23" s="14">
        <f t="shared" si="3"/>
        <v>7.9596000000000089</v>
      </c>
      <c r="E23" s="14">
        <f t="shared" si="4"/>
        <v>41.553999999999931</v>
      </c>
      <c r="F23" s="14">
        <f t="shared" si="5"/>
        <v>2.8396000000000008</v>
      </c>
      <c r="G23" s="14">
        <f t="shared" si="6"/>
        <v>1.1175200000000001</v>
      </c>
      <c r="H23" s="14">
        <f t="shared" si="7"/>
        <v>0.45799999999999996</v>
      </c>
      <c r="I23" s="15">
        <f t="shared" si="8"/>
        <v>0.16488000000000003</v>
      </c>
    </row>
    <row r="24" spans="1:14" x14ac:dyDescent="0.2">
      <c r="A24" s="11">
        <v>2047</v>
      </c>
      <c r="B24" s="14">
        <f t="shared" si="1"/>
        <v>672.67218666666599</v>
      </c>
      <c r="C24" s="14">
        <f t="shared" si="2"/>
        <v>245.10000000000025</v>
      </c>
      <c r="D24" s="14">
        <f t="shared" si="3"/>
        <v>7.8672000000000093</v>
      </c>
      <c r="E24" s="14">
        <f t="shared" si="4"/>
        <v>41.027999999999928</v>
      </c>
      <c r="F24" s="14">
        <f t="shared" si="5"/>
        <v>2.8272000000000008</v>
      </c>
      <c r="G24" s="14">
        <f t="shared" si="6"/>
        <v>1.1126400000000001</v>
      </c>
      <c r="H24" s="14">
        <f t="shared" si="7"/>
        <v>0.45599999999999996</v>
      </c>
      <c r="I24" s="15">
        <f t="shared" si="8"/>
        <v>0.16416000000000003</v>
      </c>
    </row>
    <row r="25" spans="1:14" x14ac:dyDescent="0.2">
      <c r="A25" s="11">
        <v>2048</v>
      </c>
      <c r="B25" s="14">
        <f t="shared" si="1"/>
        <v>660.86001333333263</v>
      </c>
      <c r="C25" s="14">
        <f t="shared" si="2"/>
        <v>244.02500000000026</v>
      </c>
      <c r="D25" s="14">
        <f t="shared" si="3"/>
        <v>7.7748000000000097</v>
      </c>
      <c r="E25" s="14">
        <f t="shared" si="4"/>
        <v>40.501999999999924</v>
      </c>
      <c r="F25" s="14">
        <f t="shared" si="5"/>
        <v>2.8148000000000009</v>
      </c>
      <c r="G25" s="14">
        <f t="shared" si="6"/>
        <v>1.1077600000000001</v>
      </c>
      <c r="H25" s="14">
        <f t="shared" si="7"/>
        <v>0.45399999999999996</v>
      </c>
      <c r="I25" s="15">
        <f t="shared" si="8"/>
        <v>0.16344000000000003</v>
      </c>
    </row>
    <row r="26" spans="1:14" x14ac:dyDescent="0.2">
      <c r="A26" s="11">
        <v>2049</v>
      </c>
      <c r="B26" s="14">
        <f t="shared" si="1"/>
        <v>649.04783999999927</v>
      </c>
      <c r="C26" s="14">
        <f t="shared" si="2"/>
        <v>242.95000000000027</v>
      </c>
      <c r="D26" s="14">
        <f t="shared" si="3"/>
        <v>7.6824000000000101</v>
      </c>
      <c r="E26" s="14">
        <f t="shared" si="4"/>
        <v>39.975999999999921</v>
      </c>
      <c r="F26" s="14">
        <f t="shared" si="5"/>
        <v>2.8024000000000009</v>
      </c>
      <c r="G26" s="14">
        <f t="shared" si="6"/>
        <v>1.1028800000000001</v>
      </c>
      <c r="H26" s="14">
        <f t="shared" si="7"/>
        <v>0.45199999999999996</v>
      </c>
      <c r="I26" s="15">
        <f t="shared" si="8"/>
        <v>0.16272000000000003</v>
      </c>
    </row>
    <row r="27" spans="1:14" x14ac:dyDescent="0.2">
      <c r="A27" s="11">
        <v>2050</v>
      </c>
      <c r="B27" s="14">
        <f t="shared" si="1"/>
        <v>637.23566666666591</v>
      </c>
      <c r="C27" s="14">
        <f t="shared" si="2"/>
        <v>241.87500000000028</v>
      </c>
      <c r="D27" s="14">
        <f t="shared" si="3"/>
        <v>7.5900000000000105</v>
      </c>
      <c r="E27" s="14">
        <f t="shared" si="4"/>
        <v>39.449999999999918</v>
      </c>
      <c r="F27" s="14">
        <f t="shared" si="5"/>
        <v>2.7900000000000009</v>
      </c>
      <c r="G27" s="14">
        <f t="shared" si="6"/>
        <v>1.0980000000000001</v>
      </c>
      <c r="H27" s="14">
        <f t="shared" si="7"/>
        <v>0.44999999999999996</v>
      </c>
      <c r="I27" s="15">
        <f t="shared" si="8"/>
        <v>0.16200000000000003</v>
      </c>
    </row>
    <row r="28" spans="1:14" x14ac:dyDescent="0.2">
      <c r="A28" s="11">
        <v>2051</v>
      </c>
      <c r="B28" s="14">
        <f t="shared" si="1"/>
        <v>625.42349333333254</v>
      </c>
      <c r="C28" s="14">
        <f t="shared" si="2"/>
        <v>240.8000000000003</v>
      </c>
      <c r="D28" s="14">
        <f t="shared" si="3"/>
        <v>7.4976000000000109</v>
      </c>
      <c r="E28" s="14">
        <f t="shared" si="4"/>
        <v>38.923999999999914</v>
      </c>
      <c r="F28" s="14">
        <f t="shared" si="5"/>
        <v>2.777600000000001</v>
      </c>
      <c r="G28" s="14">
        <f t="shared" si="6"/>
        <v>1.0931200000000001</v>
      </c>
      <c r="H28" s="14">
        <f t="shared" si="7"/>
        <v>0.44799999999999995</v>
      </c>
      <c r="I28" s="15">
        <f t="shared" si="8"/>
        <v>0.16128000000000003</v>
      </c>
    </row>
    <row r="29" spans="1:14" x14ac:dyDescent="0.2">
      <c r="A29" s="11">
        <v>2052</v>
      </c>
      <c r="B29" s="14">
        <f t="shared" si="1"/>
        <v>613.61131999999918</v>
      </c>
      <c r="C29" s="14">
        <f t="shared" si="2"/>
        <v>239.72500000000031</v>
      </c>
      <c r="D29" s="14">
        <f t="shared" si="3"/>
        <v>7.4052000000000113</v>
      </c>
      <c r="E29" s="14">
        <f t="shared" si="4"/>
        <v>38.397999999999911</v>
      </c>
      <c r="F29" s="14">
        <f t="shared" si="5"/>
        <v>2.765200000000001</v>
      </c>
      <c r="G29" s="14">
        <f t="shared" si="6"/>
        <v>1.0882400000000001</v>
      </c>
      <c r="H29" s="14">
        <f t="shared" si="7"/>
        <v>0.44599999999999995</v>
      </c>
      <c r="I29" s="15">
        <f t="shared" si="8"/>
        <v>0.16056000000000004</v>
      </c>
    </row>
    <row r="30" spans="1:14" x14ac:dyDescent="0.2">
      <c r="A30" s="11">
        <v>2053</v>
      </c>
      <c r="B30" s="14">
        <f t="shared" si="1"/>
        <v>601.79914666666582</v>
      </c>
      <c r="C30" s="14">
        <f t="shared" si="2"/>
        <v>238.65000000000032</v>
      </c>
      <c r="D30" s="14">
        <f t="shared" si="3"/>
        <v>7.3128000000000117</v>
      </c>
      <c r="E30" s="14">
        <f t="shared" si="4"/>
        <v>37.871999999999908</v>
      </c>
      <c r="F30" s="14">
        <f t="shared" si="5"/>
        <v>2.752800000000001</v>
      </c>
      <c r="G30" s="14">
        <f t="shared" si="6"/>
        <v>1.0833600000000001</v>
      </c>
      <c r="H30" s="14">
        <f t="shared" si="7"/>
        <v>0.44399999999999995</v>
      </c>
      <c r="I30" s="15">
        <f t="shared" si="8"/>
        <v>0.15984000000000004</v>
      </c>
    </row>
    <row r="31" spans="1:14" x14ac:dyDescent="0.2">
      <c r="A31" s="11">
        <v>2054</v>
      </c>
      <c r="B31" s="14">
        <f t="shared" si="1"/>
        <v>589.98697333333246</v>
      </c>
      <c r="C31" s="14">
        <f t="shared" si="2"/>
        <v>237.57500000000033</v>
      </c>
      <c r="D31" s="14">
        <f t="shared" si="3"/>
        <v>7.2204000000000121</v>
      </c>
      <c r="E31" s="14">
        <f t="shared" si="4"/>
        <v>37.345999999999904</v>
      </c>
      <c r="F31" s="14">
        <f t="shared" si="5"/>
        <v>2.7404000000000011</v>
      </c>
      <c r="G31" s="14">
        <f t="shared" si="6"/>
        <v>1.0784800000000001</v>
      </c>
      <c r="H31" s="14">
        <f t="shared" si="7"/>
        <v>0.44199999999999995</v>
      </c>
      <c r="I31" s="15">
        <f t="shared" si="8"/>
        <v>0.15912000000000004</v>
      </c>
    </row>
    <row r="32" spans="1:14" x14ac:dyDescent="0.2">
      <c r="A32" s="11">
        <v>2055</v>
      </c>
      <c r="B32" s="14">
        <f t="shared" si="1"/>
        <v>578.1747999999991</v>
      </c>
      <c r="C32" s="14">
        <f t="shared" si="2"/>
        <v>236.50000000000034</v>
      </c>
      <c r="D32" s="14">
        <f t="shared" si="3"/>
        <v>7.1280000000000125</v>
      </c>
      <c r="E32" s="14">
        <f t="shared" si="4"/>
        <v>36.819999999999901</v>
      </c>
      <c r="F32" s="14">
        <f t="shared" si="5"/>
        <v>2.7280000000000011</v>
      </c>
      <c r="G32" s="14">
        <f t="shared" si="6"/>
        <v>1.0736000000000001</v>
      </c>
      <c r="H32" s="14">
        <f t="shared" si="7"/>
        <v>0.43999999999999995</v>
      </c>
      <c r="I32" s="15">
        <f t="shared" si="8"/>
        <v>0.15840000000000004</v>
      </c>
    </row>
    <row r="33" spans="1:9" x14ac:dyDescent="0.2">
      <c r="A33" s="11">
        <v>2056</v>
      </c>
      <c r="B33" s="14">
        <f t="shared" si="1"/>
        <v>566.36262666666573</v>
      </c>
      <c r="C33" s="14">
        <f t="shared" si="2"/>
        <v>235.42500000000035</v>
      </c>
      <c r="D33" s="14">
        <f t="shared" si="3"/>
        <v>7.035600000000013</v>
      </c>
      <c r="E33" s="14">
        <f t="shared" si="4"/>
        <v>36.293999999999897</v>
      </c>
      <c r="F33" s="14">
        <f t="shared" si="5"/>
        <v>2.7156000000000011</v>
      </c>
      <c r="G33" s="14">
        <f t="shared" si="6"/>
        <v>1.0687200000000001</v>
      </c>
      <c r="H33" s="14">
        <f t="shared" si="7"/>
        <v>0.43799999999999994</v>
      </c>
      <c r="I33" s="15">
        <f t="shared" si="8"/>
        <v>0.15768000000000004</v>
      </c>
    </row>
    <row r="34" spans="1:9" x14ac:dyDescent="0.2">
      <c r="A34" s="11">
        <v>2057</v>
      </c>
      <c r="B34" s="14">
        <f t="shared" si="1"/>
        <v>554.55045333333237</v>
      </c>
      <c r="C34" s="14">
        <f t="shared" si="2"/>
        <v>234.35000000000036</v>
      </c>
      <c r="D34" s="14">
        <f t="shared" si="3"/>
        <v>6.9432000000000134</v>
      </c>
      <c r="E34" s="14">
        <f t="shared" si="4"/>
        <v>35.767999999999894</v>
      </c>
      <c r="F34" s="14">
        <f t="shared" si="5"/>
        <v>2.7032000000000012</v>
      </c>
      <c r="G34" s="14">
        <f t="shared" si="6"/>
        <v>1.0638400000000001</v>
      </c>
      <c r="H34" s="14">
        <f t="shared" si="7"/>
        <v>0.43599999999999994</v>
      </c>
      <c r="I34" s="15">
        <f t="shared" si="8"/>
        <v>0.15696000000000004</v>
      </c>
    </row>
    <row r="35" spans="1:9" x14ac:dyDescent="0.2">
      <c r="A35" s="11">
        <v>2058</v>
      </c>
      <c r="B35" s="14">
        <f t="shared" si="1"/>
        <v>542.73827999999901</v>
      </c>
      <c r="C35" s="14">
        <f t="shared" si="2"/>
        <v>233.27500000000038</v>
      </c>
      <c r="D35" s="14">
        <f t="shared" si="3"/>
        <v>6.8508000000000138</v>
      </c>
      <c r="E35" s="14">
        <f t="shared" si="4"/>
        <v>35.241999999999891</v>
      </c>
      <c r="F35" s="14">
        <f t="shared" si="5"/>
        <v>2.6908000000000012</v>
      </c>
      <c r="G35" s="14">
        <f t="shared" si="6"/>
        <v>1.0589600000000001</v>
      </c>
      <c r="H35" s="14">
        <f t="shared" si="7"/>
        <v>0.43399999999999994</v>
      </c>
      <c r="I35" s="15">
        <f t="shared" si="8"/>
        <v>0.15624000000000005</v>
      </c>
    </row>
    <row r="36" spans="1:9" x14ac:dyDescent="0.2">
      <c r="A36" s="11">
        <v>2059</v>
      </c>
      <c r="B36" s="14">
        <f t="shared" si="1"/>
        <v>530.92610666666565</v>
      </c>
      <c r="C36" s="14">
        <f t="shared" si="2"/>
        <v>232.20000000000039</v>
      </c>
      <c r="D36" s="14">
        <f t="shared" si="3"/>
        <v>6.7584000000000142</v>
      </c>
      <c r="E36" s="14">
        <f t="shared" si="4"/>
        <v>34.715999999999887</v>
      </c>
      <c r="F36" s="14">
        <f t="shared" si="5"/>
        <v>2.6784000000000012</v>
      </c>
      <c r="G36" s="14">
        <f t="shared" si="6"/>
        <v>1.0540800000000001</v>
      </c>
      <c r="H36" s="14">
        <f t="shared" si="7"/>
        <v>0.43199999999999994</v>
      </c>
      <c r="I36" s="15">
        <f t="shared" si="8"/>
        <v>0.15552000000000005</v>
      </c>
    </row>
    <row r="37" spans="1:9" x14ac:dyDescent="0.2">
      <c r="A37" s="11">
        <v>2060</v>
      </c>
      <c r="B37" s="14">
        <f t="shared" si="1"/>
        <v>519.11393333333228</v>
      </c>
      <c r="C37" s="14">
        <f t="shared" si="2"/>
        <v>231.1250000000004</v>
      </c>
      <c r="D37" s="14">
        <f t="shared" si="3"/>
        <v>6.6660000000000146</v>
      </c>
      <c r="E37" s="14">
        <f t="shared" si="4"/>
        <v>34.189999999999884</v>
      </c>
      <c r="F37" s="14">
        <f t="shared" si="5"/>
        <v>2.6660000000000013</v>
      </c>
      <c r="G37" s="14">
        <f t="shared" si="6"/>
        <v>1.0492000000000001</v>
      </c>
      <c r="H37" s="14">
        <f t="shared" si="7"/>
        <v>0.42999999999999994</v>
      </c>
      <c r="I37" s="15">
        <f t="shared" si="8"/>
        <v>0.15480000000000005</v>
      </c>
    </row>
    <row r="38" spans="1:9" x14ac:dyDescent="0.2">
      <c r="A38" s="11">
        <v>2061</v>
      </c>
      <c r="B38" s="14">
        <f t="shared" si="1"/>
        <v>507.30175999999898</v>
      </c>
      <c r="C38" s="14">
        <f t="shared" si="2"/>
        <v>230.05000000000041</v>
      </c>
      <c r="D38" s="14">
        <f t="shared" si="3"/>
        <v>6.573600000000015</v>
      </c>
      <c r="E38" s="14">
        <f t="shared" si="4"/>
        <v>33.663999999999881</v>
      </c>
      <c r="F38" s="14">
        <f t="shared" si="5"/>
        <v>2.6536000000000013</v>
      </c>
      <c r="G38" s="14">
        <f t="shared" si="6"/>
        <v>1.0443200000000001</v>
      </c>
      <c r="H38" s="14">
        <f t="shared" si="7"/>
        <v>0.42799999999999994</v>
      </c>
      <c r="I38" s="15">
        <f t="shared" si="8"/>
        <v>0.15408000000000005</v>
      </c>
    </row>
    <row r="39" spans="1:9" x14ac:dyDescent="0.2">
      <c r="A39" s="11">
        <v>2062</v>
      </c>
      <c r="B39" s="14">
        <f t="shared" si="1"/>
        <v>495.48958666666567</v>
      </c>
      <c r="C39" s="14">
        <f t="shared" si="2"/>
        <v>228.97500000000042</v>
      </c>
      <c r="D39" s="14">
        <f t="shared" si="3"/>
        <v>6.4812000000000154</v>
      </c>
      <c r="E39" s="14">
        <f t="shared" si="4"/>
        <v>33.137999999999877</v>
      </c>
      <c r="F39" s="14">
        <f t="shared" si="5"/>
        <v>2.6412000000000013</v>
      </c>
      <c r="G39" s="14">
        <f t="shared" si="6"/>
        <v>1.0394400000000001</v>
      </c>
      <c r="H39" s="14">
        <f t="shared" si="7"/>
        <v>0.42599999999999993</v>
      </c>
      <c r="I39" s="15">
        <f t="shared" si="8"/>
        <v>0.15336000000000005</v>
      </c>
    </row>
    <row r="40" spans="1:9" x14ac:dyDescent="0.2">
      <c r="A40" s="11">
        <v>2063</v>
      </c>
      <c r="B40" s="14">
        <f t="shared" si="1"/>
        <v>483.67741333333237</v>
      </c>
      <c r="C40" s="14">
        <f t="shared" si="2"/>
        <v>227.90000000000043</v>
      </c>
      <c r="D40" s="14">
        <f t="shared" si="3"/>
        <v>6.3888000000000158</v>
      </c>
      <c r="E40" s="14">
        <f t="shared" si="4"/>
        <v>32.611999999999874</v>
      </c>
      <c r="F40" s="14">
        <f t="shared" si="5"/>
        <v>2.6288000000000014</v>
      </c>
      <c r="G40" s="14">
        <f t="shared" si="6"/>
        <v>1.0345600000000001</v>
      </c>
      <c r="H40" s="14">
        <f t="shared" si="7"/>
        <v>0.42399999999999993</v>
      </c>
      <c r="I40" s="15">
        <f t="shared" si="8"/>
        <v>0.15264000000000005</v>
      </c>
    </row>
    <row r="41" spans="1:9" x14ac:dyDescent="0.2">
      <c r="A41" s="11">
        <v>2064</v>
      </c>
      <c r="B41" s="14">
        <f t="shared" si="1"/>
        <v>471.86523999999906</v>
      </c>
      <c r="C41" s="14">
        <f t="shared" si="2"/>
        <v>226.82500000000044</v>
      </c>
      <c r="D41" s="14">
        <f t="shared" si="3"/>
        <v>6.2964000000000162</v>
      </c>
      <c r="E41" s="14">
        <f t="shared" si="4"/>
        <v>32.085999999999871</v>
      </c>
      <c r="F41" s="14">
        <f t="shared" si="5"/>
        <v>2.6164000000000014</v>
      </c>
      <c r="G41" s="14">
        <f t="shared" si="6"/>
        <v>1.0296800000000002</v>
      </c>
      <c r="H41" s="14">
        <f t="shared" si="7"/>
        <v>0.42199999999999993</v>
      </c>
      <c r="I41" s="15">
        <f t="shared" si="8"/>
        <v>0.15192000000000005</v>
      </c>
    </row>
    <row r="42" spans="1:9" x14ac:dyDescent="0.2">
      <c r="A42" s="11">
        <v>2065</v>
      </c>
      <c r="B42" s="14">
        <f t="shared" si="1"/>
        <v>460.05306666666576</v>
      </c>
      <c r="C42" s="14">
        <f t="shared" si="2"/>
        <v>225.75000000000045</v>
      </c>
      <c r="D42" s="14">
        <f t="shared" si="3"/>
        <v>6.2040000000000166</v>
      </c>
      <c r="E42" s="14">
        <f t="shared" si="4"/>
        <v>31.559999999999871</v>
      </c>
      <c r="F42" s="14">
        <f t="shared" si="5"/>
        <v>2.6040000000000014</v>
      </c>
      <c r="G42" s="14">
        <f t="shared" si="6"/>
        <v>1.0248000000000002</v>
      </c>
      <c r="H42" s="14">
        <f t="shared" si="7"/>
        <v>0.41999999999999993</v>
      </c>
      <c r="I42" s="15">
        <f t="shared" si="8"/>
        <v>0.15120000000000006</v>
      </c>
    </row>
    <row r="43" spans="1:9" x14ac:dyDescent="0.2">
      <c r="A43" s="11">
        <v>2066</v>
      </c>
      <c r="B43" s="14">
        <f t="shared" si="1"/>
        <v>448.24089333333245</v>
      </c>
      <c r="C43" s="14">
        <f t="shared" si="2"/>
        <v>224.67500000000047</v>
      </c>
      <c r="D43" s="14">
        <f t="shared" si="3"/>
        <v>6.111600000000017</v>
      </c>
      <c r="E43" s="14">
        <f t="shared" si="4"/>
        <v>31.033999999999871</v>
      </c>
      <c r="F43" s="14">
        <f t="shared" si="5"/>
        <v>2.5916000000000015</v>
      </c>
      <c r="G43" s="14">
        <f t="shared" si="6"/>
        <v>1.0199200000000002</v>
      </c>
      <c r="H43" s="14">
        <f t="shared" si="7"/>
        <v>0.41799999999999993</v>
      </c>
      <c r="I43" s="15">
        <f t="shared" si="8"/>
        <v>0.15048000000000006</v>
      </c>
    </row>
    <row r="44" spans="1:9" x14ac:dyDescent="0.2">
      <c r="A44" s="11">
        <v>2067</v>
      </c>
      <c r="B44" s="14">
        <f t="shared" si="1"/>
        <v>436.42871999999915</v>
      </c>
      <c r="C44" s="14">
        <f t="shared" si="2"/>
        <v>223.60000000000048</v>
      </c>
      <c r="D44" s="14">
        <f t="shared" si="3"/>
        <v>6.0192000000000174</v>
      </c>
      <c r="E44" s="14">
        <f t="shared" si="4"/>
        <v>30.507999999999871</v>
      </c>
      <c r="F44" s="14">
        <f t="shared" si="5"/>
        <v>2.5792000000000015</v>
      </c>
      <c r="G44" s="14">
        <f t="shared" si="6"/>
        <v>1.0150400000000002</v>
      </c>
      <c r="H44" s="14">
        <f t="shared" si="7"/>
        <v>0.41599999999999993</v>
      </c>
      <c r="I44" s="15">
        <f t="shared" si="8"/>
        <v>0.14976000000000006</v>
      </c>
    </row>
    <row r="45" spans="1:9" x14ac:dyDescent="0.2">
      <c r="A45" s="11">
        <v>2068</v>
      </c>
      <c r="B45" s="14">
        <f t="shared" si="1"/>
        <v>424.61654666666584</v>
      </c>
      <c r="C45" s="14">
        <f t="shared" si="2"/>
        <v>222.52500000000049</v>
      </c>
      <c r="D45" s="14">
        <f t="shared" si="3"/>
        <v>5.9268000000000178</v>
      </c>
      <c r="E45" s="14">
        <f t="shared" si="4"/>
        <v>29.981999999999871</v>
      </c>
      <c r="F45" s="14">
        <f t="shared" si="5"/>
        <v>2.5668000000000015</v>
      </c>
      <c r="G45" s="14">
        <f t="shared" si="6"/>
        <v>1.0101600000000002</v>
      </c>
      <c r="H45" s="14">
        <f t="shared" si="7"/>
        <v>0.41399999999999992</v>
      </c>
      <c r="I45" s="15">
        <f t="shared" si="8"/>
        <v>0.14904000000000006</v>
      </c>
    </row>
    <row r="46" spans="1:9" x14ac:dyDescent="0.2">
      <c r="A46" s="11">
        <v>2069</v>
      </c>
      <c r="B46" s="14">
        <f t="shared" si="1"/>
        <v>412.80437333333253</v>
      </c>
      <c r="C46" s="14">
        <f t="shared" si="2"/>
        <v>221.4500000000005</v>
      </c>
      <c r="D46" s="14">
        <f t="shared" si="3"/>
        <v>5.8344000000000182</v>
      </c>
      <c r="E46" s="14">
        <f t="shared" si="4"/>
        <v>29.455999999999872</v>
      </c>
      <c r="F46" s="14">
        <f t="shared" si="5"/>
        <v>2.5544000000000016</v>
      </c>
      <c r="G46" s="14">
        <f t="shared" si="6"/>
        <v>1.0052800000000002</v>
      </c>
      <c r="H46" s="14">
        <f t="shared" si="7"/>
        <v>0.41199999999999992</v>
      </c>
      <c r="I46" s="15">
        <f t="shared" si="8"/>
        <v>0.14832000000000006</v>
      </c>
    </row>
    <row r="47" spans="1:9" x14ac:dyDescent="0.2">
      <c r="A47" s="11">
        <v>2070</v>
      </c>
      <c r="B47" s="14">
        <f t="shared" si="1"/>
        <v>400.99219999999923</v>
      </c>
      <c r="C47" s="14">
        <f t="shared" si="2"/>
        <v>220.37500000000051</v>
      </c>
      <c r="D47" s="14">
        <f t="shared" si="3"/>
        <v>5.7420000000000186</v>
      </c>
      <c r="E47" s="14">
        <f t="shared" si="4"/>
        <v>28.929999999999872</v>
      </c>
      <c r="F47" s="14">
        <f t="shared" si="5"/>
        <v>2.5420000000000016</v>
      </c>
      <c r="G47" s="14">
        <f t="shared" si="6"/>
        <v>1.0004000000000002</v>
      </c>
      <c r="H47" s="14">
        <f t="shared" si="7"/>
        <v>0.40999999999999992</v>
      </c>
      <c r="I47" s="15">
        <f t="shared" si="8"/>
        <v>0.14760000000000006</v>
      </c>
    </row>
    <row r="48" spans="1:9" x14ac:dyDescent="0.2">
      <c r="A48" s="11">
        <v>2071</v>
      </c>
      <c r="B48" s="14">
        <f t="shared" si="1"/>
        <v>389.18002666666592</v>
      </c>
      <c r="C48" s="14">
        <f t="shared" si="2"/>
        <v>219.30000000000052</v>
      </c>
      <c r="D48" s="14">
        <f t="shared" si="3"/>
        <v>5.6496000000000191</v>
      </c>
      <c r="E48" s="14">
        <f t="shared" si="4"/>
        <v>28.403999999999872</v>
      </c>
      <c r="F48" s="14">
        <f t="shared" si="5"/>
        <v>2.5296000000000016</v>
      </c>
      <c r="G48" s="14">
        <f t="shared" si="6"/>
        <v>0.99552000000000018</v>
      </c>
      <c r="H48" s="14">
        <f t="shared" si="7"/>
        <v>0.40799999999999992</v>
      </c>
      <c r="I48" s="15">
        <f t="shared" si="8"/>
        <v>0.14688000000000007</v>
      </c>
    </row>
    <row r="49" spans="1:9" x14ac:dyDescent="0.2">
      <c r="A49" s="11">
        <v>2072</v>
      </c>
      <c r="B49" s="14">
        <f t="shared" si="1"/>
        <v>377.36785333333262</v>
      </c>
      <c r="C49" s="14">
        <f t="shared" si="2"/>
        <v>218.22500000000053</v>
      </c>
      <c r="D49" s="14">
        <f t="shared" si="3"/>
        <v>5.5572000000000195</v>
      </c>
      <c r="E49" s="14">
        <f t="shared" si="4"/>
        <v>27.877999999999872</v>
      </c>
      <c r="F49" s="14">
        <f t="shared" si="5"/>
        <v>2.5172000000000017</v>
      </c>
      <c r="G49" s="14">
        <f t="shared" si="6"/>
        <v>0.99064000000000019</v>
      </c>
      <c r="H49" s="14">
        <f t="shared" si="7"/>
        <v>0.40599999999999992</v>
      </c>
      <c r="I49" s="15">
        <f t="shared" si="8"/>
        <v>0.14616000000000007</v>
      </c>
    </row>
    <row r="50" spans="1:9" x14ac:dyDescent="0.2">
      <c r="A50" s="11">
        <v>2073</v>
      </c>
      <c r="B50" s="14">
        <f t="shared" si="1"/>
        <v>365.55567999999931</v>
      </c>
      <c r="C50" s="14">
        <f t="shared" si="2"/>
        <v>217.15000000000055</v>
      </c>
      <c r="D50" s="14">
        <f t="shared" si="3"/>
        <v>5.4648000000000199</v>
      </c>
      <c r="E50" s="14">
        <f t="shared" si="4"/>
        <v>27.351999999999872</v>
      </c>
      <c r="F50" s="14">
        <f t="shared" si="5"/>
        <v>2.5048000000000017</v>
      </c>
      <c r="G50" s="14">
        <f t="shared" si="6"/>
        <v>0.98576000000000019</v>
      </c>
      <c r="H50" s="14">
        <f t="shared" si="7"/>
        <v>0.40399999999999991</v>
      </c>
      <c r="I50" s="15">
        <f t="shared" si="8"/>
        <v>0.14544000000000007</v>
      </c>
    </row>
    <row r="51" spans="1:9" x14ac:dyDescent="0.2">
      <c r="A51" s="11">
        <v>2074</v>
      </c>
      <c r="B51" s="14">
        <f t="shared" si="1"/>
        <v>353.74350666666601</v>
      </c>
      <c r="C51" s="14">
        <f t="shared" si="2"/>
        <v>216.07500000000056</v>
      </c>
      <c r="D51" s="14">
        <f t="shared" si="3"/>
        <v>5.3724000000000203</v>
      </c>
      <c r="E51" s="14">
        <f t="shared" si="4"/>
        <v>26.825999999999873</v>
      </c>
      <c r="F51" s="14">
        <f t="shared" si="5"/>
        <v>2.4924000000000017</v>
      </c>
      <c r="G51" s="14">
        <f t="shared" si="6"/>
        <v>0.9808800000000002</v>
      </c>
      <c r="H51" s="14">
        <f t="shared" si="7"/>
        <v>0.40199999999999991</v>
      </c>
      <c r="I51" s="15">
        <f t="shared" si="8"/>
        <v>0.14472000000000007</v>
      </c>
    </row>
    <row r="52" spans="1:9" x14ac:dyDescent="0.2">
      <c r="A52" s="11">
        <v>2075</v>
      </c>
      <c r="B52" s="14">
        <f t="shared" si="1"/>
        <v>341.9313333333327</v>
      </c>
      <c r="C52" s="14">
        <f t="shared" si="2"/>
        <v>215.00000000000057</v>
      </c>
      <c r="D52" s="14">
        <f t="shared" si="3"/>
        <v>5.2800000000000207</v>
      </c>
      <c r="E52" s="14">
        <f t="shared" si="4"/>
        <v>26.299999999999873</v>
      </c>
      <c r="F52" s="14">
        <f t="shared" si="5"/>
        <v>2.4800000000000018</v>
      </c>
      <c r="G52" s="14">
        <f t="shared" si="6"/>
        <v>0.9760000000000002</v>
      </c>
      <c r="H52" s="14">
        <f t="shared" si="7"/>
        <v>0.39999999999999991</v>
      </c>
      <c r="I52" s="15">
        <f t="shared" si="8"/>
        <v>0.14400000000000007</v>
      </c>
    </row>
    <row r="53" spans="1:9" x14ac:dyDescent="0.2">
      <c r="A53" s="11">
        <v>2076</v>
      </c>
      <c r="B53" s="14">
        <f t="shared" si="1"/>
        <v>330.1191599999994</v>
      </c>
      <c r="C53" s="14">
        <f t="shared" si="2"/>
        <v>213.92500000000058</v>
      </c>
      <c r="D53" s="14">
        <f t="shared" si="3"/>
        <v>5.1876000000000211</v>
      </c>
      <c r="E53" s="14">
        <f t="shared" si="4"/>
        <v>25.773999999999873</v>
      </c>
      <c r="F53" s="14">
        <f t="shared" si="5"/>
        <v>2.4676000000000018</v>
      </c>
      <c r="G53" s="14">
        <f t="shared" si="6"/>
        <v>0.97112000000000021</v>
      </c>
      <c r="H53" s="14">
        <f t="shared" si="7"/>
        <v>0.39799999999999991</v>
      </c>
      <c r="I53" s="15">
        <f t="shared" si="8"/>
        <v>0.14328000000000007</v>
      </c>
    </row>
    <row r="54" spans="1:9" x14ac:dyDescent="0.2">
      <c r="A54" s="11">
        <v>2077</v>
      </c>
      <c r="B54" s="14">
        <f t="shared" si="1"/>
        <v>318.30698666666609</v>
      </c>
      <c r="C54" s="14">
        <f t="shared" si="2"/>
        <v>212.85000000000059</v>
      </c>
      <c r="D54" s="14">
        <f t="shared" si="3"/>
        <v>5.0952000000000215</v>
      </c>
      <c r="E54" s="14">
        <f t="shared" si="4"/>
        <v>25.247999999999873</v>
      </c>
      <c r="F54" s="14">
        <f t="shared" si="5"/>
        <v>2.4552000000000018</v>
      </c>
      <c r="G54" s="14">
        <f t="shared" si="6"/>
        <v>0.96624000000000021</v>
      </c>
      <c r="H54" s="14">
        <f t="shared" si="7"/>
        <v>0.39599999999999991</v>
      </c>
      <c r="I54" s="15">
        <f t="shared" si="8"/>
        <v>0.14256000000000008</v>
      </c>
    </row>
    <row r="55" spans="1:9" x14ac:dyDescent="0.2">
      <c r="A55" s="11">
        <v>2078</v>
      </c>
      <c r="B55" s="14">
        <f t="shared" si="1"/>
        <v>306.49481333333279</v>
      </c>
      <c r="C55" s="14">
        <f t="shared" si="2"/>
        <v>211.7750000000006</v>
      </c>
      <c r="D55" s="14">
        <f t="shared" si="3"/>
        <v>5.0028000000000219</v>
      </c>
      <c r="E55" s="14">
        <f t="shared" si="4"/>
        <v>24.721999999999873</v>
      </c>
      <c r="F55" s="14">
        <f t="shared" si="5"/>
        <v>2.4428000000000019</v>
      </c>
      <c r="G55" s="14">
        <f t="shared" si="6"/>
        <v>0.96136000000000021</v>
      </c>
      <c r="H55" s="14">
        <f t="shared" si="7"/>
        <v>0.39399999999999991</v>
      </c>
      <c r="I55" s="15">
        <f t="shared" si="8"/>
        <v>0.14184000000000008</v>
      </c>
    </row>
    <row r="56" spans="1:9" x14ac:dyDescent="0.2">
      <c r="A56" s="11">
        <v>2079</v>
      </c>
      <c r="B56" s="14">
        <f t="shared" si="1"/>
        <v>294.68263999999948</v>
      </c>
      <c r="C56" s="14">
        <f t="shared" si="2"/>
        <v>210.70000000000061</v>
      </c>
      <c r="D56" s="14">
        <f t="shared" si="3"/>
        <v>4.9104000000000223</v>
      </c>
      <c r="E56" s="14">
        <f t="shared" si="4"/>
        <v>24.195999999999874</v>
      </c>
      <c r="F56" s="14">
        <f t="shared" si="5"/>
        <v>2.4304000000000019</v>
      </c>
      <c r="G56" s="14">
        <f t="shared" si="6"/>
        <v>0.95648000000000022</v>
      </c>
      <c r="H56" s="14">
        <f t="shared" si="7"/>
        <v>0.3919999999999999</v>
      </c>
      <c r="I56" s="15">
        <f t="shared" si="8"/>
        <v>0.14112000000000008</v>
      </c>
    </row>
    <row r="57" spans="1:9" x14ac:dyDescent="0.2">
      <c r="A57" s="11">
        <v>2080</v>
      </c>
      <c r="B57" s="14">
        <f t="shared" si="1"/>
        <v>282.87046666666618</v>
      </c>
      <c r="C57" s="14">
        <f t="shared" si="2"/>
        <v>209.62500000000063</v>
      </c>
      <c r="D57" s="14">
        <f t="shared" si="3"/>
        <v>4.8180000000000227</v>
      </c>
      <c r="E57" s="14">
        <f t="shared" si="4"/>
        <v>23.669999999999874</v>
      </c>
      <c r="F57" s="14">
        <f t="shared" si="5"/>
        <v>2.4180000000000019</v>
      </c>
      <c r="G57" s="14">
        <f t="shared" si="6"/>
        <v>0.95160000000000022</v>
      </c>
      <c r="H57" s="14">
        <f t="shared" si="7"/>
        <v>0.3899999999999999</v>
      </c>
      <c r="I57" s="15">
        <f t="shared" si="8"/>
        <v>0.14040000000000008</v>
      </c>
    </row>
    <row r="58" spans="1:9" x14ac:dyDescent="0.2">
      <c r="A58" s="11">
        <v>2081</v>
      </c>
      <c r="B58" s="14">
        <f t="shared" si="1"/>
        <v>271.05829333333287</v>
      </c>
      <c r="C58" s="14">
        <f t="shared" si="2"/>
        <v>208.55000000000064</v>
      </c>
      <c r="D58" s="14">
        <f t="shared" si="3"/>
        <v>4.7256000000000231</v>
      </c>
      <c r="E58" s="14">
        <f t="shared" si="4"/>
        <v>23.143999999999874</v>
      </c>
      <c r="F58" s="14">
        <f t="shared" si="5"/>
        <v>2.405600000000002</v>
      </c>
      <c r="G58" s="14">
        <f t="shared" si="6"/>
        <v>0.94672000000000023</v>
      </c>
      <c r="H58" s="14">
        <f t="shared" si="7"/>
        <v>0.3879999999999999</v>
      </c>
      <c r="I58" s="15">
        <f t="shared" si="8"/>
        <v>0.13968000000000008</v>
      </c>
    </row>
    <row r="59" spans="1:9" x14ac:dyDescent="0.2">
      <c r="A59" s="11">
        <v>2082</v>
      </c>
      <c r="B59" s="14">
        <f t="shared" si="1"/>
        <v>259.24611999999956</v>
      </c>
      <c r="C59" s="14">
        <f t="shared" si="2"/>
        <v>207.47500000000065</v>
      </c>
      <c r="D59" s="14">
        <f t="shared" si="3"/>
        <v>4.6332000000000235</v>
      </c>
      <c r="E59" s="14">
        <f t="shared" si="4"/>
        <v>22.617999999999874</v>
      </c>
      <c r="F59" s="14">
        <f t="shared" si="5"/>
        <v>2.393200000000002</v>
      </c>
      <c r="G59" s="14">
        <f t="shared" si="6"/>
        <v>0.94184000000000023</v>
      </c>
      <c r="H59" s="14">
        <f t="shared" si="7"/>
        <v>0.3859999999999999</v>
      </c>
      <c r="I59" s="15">
        <f t="shared" si="8"/>
        <v>0.13896000000000008</v>
      </c>
    </row>
    <row r="60" spans="1:9" x14ac:dyDescent="0.2">
      <c r="A60" s="11">
        <v>2083</v>
      </c>
      <c r="B60" s="14">
        <f t="shared" si="1"/>
        <v>247.43394666666623</v>
      </c>
      <c r="C60" s="14">
        <f t="shared" si="2"/>
        <v>206.40000000000066</v>
      </c>
      <c r="D60" s="14">
        <f t="shared" si="3"/>
        <v>4.5408000000000239</v>
      </c>
      <c r="E60" s="14">
        <f t="shared" si="4"/>
        <v>22.091999999999874</v>
      </c>
      <c r="F60" s="14">
        <f t="shared" si="5"/>
        <v>2.380800000000002</v>
      </c>
      <c r="G60" s="14">
        <f t="shared" si="6"/>
        <v>0.93696000000000024</v>
      </c>
      <c r="H60" s="14">
        <f t="shared" si="7"/>
        <v>0.3839999999999999</v>
      </c>
      <c r="I60" s="15">
        <f t="shared" si="8"/>
        <v>0.13824000000000009</v>
      </c>
    </row>
    <row r="61" spans="1:9" x14ac:dyDescent="0.2">
      <c r="A61" s="11">
        <v>2084</v>
      </c>
      <c r="B61" s="14">
        <f t="shared" si="1"/>
        <v>235.6217733333329</v>
      </c>
      <c r="C61" s="14">
        <f t="shared" si="2"/>
        <v>205.32500000000067</v>
      </c>
      <c r="D61" s="14">
        <f t="shared" si="3"/>
        <v>4.4484000000000243</v>
      </c>
      <c r="E61" s="14">
        <f t="shared" si="4"/>
        <v>21.565999999999875</v>
      </c>
      <c r="F61" s="14">
        <f t="shared" si="5"/>
        <v>2.3684000000000021</v>
      </c>
      <c r="G61" s="14">
        <f t="shared" si="6"/>
        <v>0.93208000000000024</v>
      </c>
      <c r="H61" s="14">
        <f t="shared" si="7"/>
        <v>0.3819999999999999</v>
      </c>
      <c r="I61" s="15">
        <f t="shared" si="8"/>
        <v>0.13752000000000009</v>
      </c>
    </row>
    <row r="62" spans="1:9" x14ac:dyDescent="0.2">
      <c r="A62" s="11">
        <v>2085</v>
      </c>
      <c r="B62" s="14">
        <f t="shared" si="1"/>
        <v>223.80959999999956</v>
      </c>
      <c r="C62" s="14">
        <f t="shared" si="2"/>
        <v>204.25000000000068</v>
      </c>
      <c r="D62" s="14">
        <f t="shared" si="3"/>
        <v>4.3560000000000247</v>
      </c>
      <c r="E62" s="14">
        <f t="shared" si="4"/>
        <v>21.039999999999875</v>
      </c>
      <c r="F62" s="14">
        <f t="shared" si="5"/>
        <v>2.3560000000000021</v>
      </c>
      <c r="G62" s="14">
        <f t="shared" si="6"/>
        <v>0.92720000000000025</v>
      </c>
      <c r="H62" s="14">
        <f t="shared" si="7"/>
        <v>0.37999999999999989</v>
      </c>
      <c r="I62" s="15">
        <f t="shared" si="8"/>
        <v>0.13680000000000009</v>
      </c>
    </row>
    <row r="63" spans="1:9" x14ac:dyDescent="0.2">
      <c r="A63" s="11">
        <v>2086</v>
      </c>
      <c r="B63" s="14">
        <f t="shared" si="1"/>
        <v>211.99742666666623</v>
      </c>
      <c r="C63" s="14">
        <f t="shared" si="2"/>
        <v>203.17500000000069</v>
      </c>
      <c r="D63" s="14">
        <f t="shared" si="3"/>
        <v>4.2636000000000251</v>
      </c>
      <c r="E63" s="14">
        <f t="shared" si="4"/>
        <v>20.513999999999875</v>
      </c>
      <c r="F63" s="14">
        <f t="shared" si="5"/>
        <v>2.3436000000000021</v>
      </c>
      <c r="G63" s="14">
        <f t="shared" si="6"/>
        <v>0.92232000000000025</v>
      </c>
      <c r="H63" s="14">
        <f t="shared" si="7"/>
        <v>0.37799999999999989</v>
      </c>
      <c r="I63" s="15">
        <f t="shared" si="8"/>
        <v>0.13608000000000009</v>
      </c>
    </row>
    <row r="64" spans="1:9" x14ac:dyDescent="0.2">
      <c r="A64" s="11">
        <v>2087</v>
      </c>
      <c r="B64" s="14">
        <f t="shared" si="1"/>
        <v>200.18525333333289</v>
      </c>
      <c r="C64" s="14">
        <f t="shared" si="2"/>
        <v>202.1000000000007</v>
      </c>
      <c r="D64" s="14">
        <f t="shared" si="3"/>
        <v>4.1712000000000256</v>
      </c>
      <c r="E64" s="14">
        <f t="shared" si="4"/>
        <v>19.987999999999875</v>
      </c>
      <c r="F64" s="14">
        <f t="shared" si="5"/>
        <v>2.3312000000000022</v>
      </c>
      <c r="G64" s="14">
        <f t="shared" si="6"/>
        <v>0.91744000000000026</v>
      </c>
      <c r="H64" s="14">
        <f t="shared" si="7"/>
        <v>0.37599999999999989</v>
      </c>
      <c r="I64" s="15">
        <f t="shared" si="8"/>
        <v>0.13536000000000009</v>
      </c>
    </row>
    <row r="65" spans="1:9" x14ac:dyDescent="0.2">
      <c r="A65" s="11">
        <v>2088</v>
      </c>
      <c r="B65" s="14">
        <f t="shared" si="1"/>
        <v>188.37307999999956</v>
      </c>
      <c r="C65" s="14">
        <f t="shared" si="2"/>
        <v>201.02500000000072</v>
      </c>
      <c r="D65" s="14">
        <f t="shared" si="3"/>
        <v>4.078800000000026</v>
      </c>
      <c r="E65" s="14">
        <f t="shared" si="4"/>
        <v>19.461999999999875</v>
      </c>
      <c r="F65" s="14">
        <f t="shared" si="5"/>
        <v>2.3188000000000022</v>
      </c>
      <c r="G65" s="14">
        <f t="shared" si="6"/>
        <v>0.91256000000000026</v>
      </c>
      <c r="H65" s="14">
        <f t="shared" si="7"/>
        <v>0.37399999999999989</v>
      </c>
      <c r="I65" s="15">
        <f t="shared" si="8"/>
        <v>0.13464000000000009</v>
      </c>
    </row>
    <row r="66" spans="1:9" x14ac:dyDescent="0.2">
      <c r="A66" s="11">
        <v>2089</v>
      </c>
      <c r="B66" s="14">
        <f t="shared" si="1"/>
        <v>176.56090666666623</v>
      </c>
      <c r="C66" s="14">
        <f t="shared" si="2"/>
        <v>199.95000000000073</v>
      </c>
      <c r="D66" s="14">
        <f t="shared" si="3"/>
        <v>3.9864000000000259</v>
      </c>
      <c r="E66" s="14">
        <f t="shared" si="4"/>
        <v>18.935999999999876</v>
      </c>
      <c r="F66" s="14">
        <f t="shared" si="5"/>
        <v>2.3064000000000022</v>
      </c>
      <c r="G66" s="14">
        <f t="shared" si="6"/>
        <v>0.90768000000000026</v>
      </c>
      <c r="H66" s="14">
        <f t="shared" si="7"/>
        <v>0.37199999999999989</v>
      </c>
      <c r="I66" s="15">
        <f t="shared" si="8"/>
        <v>0.13392000000000009</v>
      </c>
    </row>
    <row r="67" spans="1:9" x14ac:dyDescent="0.2">
      <c r="A67" s="11">
        <v>2090</v>
      </c>
      <c r="B67" s="14">
        <f t="shared" si="1"/>
        <v>164.74873333333289</v>
      </c>
      <c r="C67" s="14">
        <f t="shared" si="2"/>
        <v>198.87500000000074</v>
      </c>
      <c r="D67" s="14">
        <f t="shared" si="3"/>
        <v>3.8940000000000259</v>
      </c>
      <c r="E67" s="14">
        <f t="shared" si="4"/>
        <v>18.409999999999876</v>
      </c>
      <c r="F67" s="14">
        <f t="shared" si="5"/>
        <v>2.2940000000000023</v>
      </c>
      <c r="G67" s="14">
        <f t="shared" si="6"/>
        <v>0.90280000000000027</v>
      </c>
      <c r="H67" s="14">
        <f t="shared" si="7"/>
        <v>0.36999999999999988</v>
      </c>
      <c r="I67" s="15">
        <f t="shared" si="8"/>
        <v>0.1332000000000001</v>
      </c>
    </row>
    <row r="68" spans="1:9" x14ac:dyDescent="0.2">
      <c r="A68" s="11">
        <v>2091</v>
      </c>
      <c r="B68" s="14">
        <f t="shared" ref="B68:B77" si="9">B67-$N$2</f>
        <v>152.93655999999956</v>
      </c>
      <c r="C68" s="14">
        <f t="shared" ref="C68:C77" si="10">C67-$N$3</f>
        <v>197.80000000000075</v>
      </c>
      <c r="D68" s="14">
        <f t="shared" ref="D68:D77" si="11">D67-$N$4</f>
        <v>3.8016000000000258</v>
      </c>
      <c r="E68" s="14">
        <f t="shared" ref="E68:E77" si="12">E67-$N$5</f>
        <v>17.883999999999876</v>
      </c>
      <c r="F68" s="14">
        <f t="shared" ref="F68:F77" si="13">F67-$N$6</f>
        <v>2.2816000000000023</v>
      </c>
      <c r="G68" s="14">
        <f t="shared" ref="G68:G77" si="14">G67-$N$7</f>
        <v>0.89792000000000027</v>
      </c>
      <c r="H68" s="14">
        <f t="shared" ref="H68:H77" si="15">H67-$N$8</f>
        <v>0.36799999999999988</v>
      </c>
      <c r="I68" s="15">
        <f t="shared" ref="I68:I77" si="16">I67-$N$9</f>
        <v>0.1324800000000001</v>
      </c>
    </row>
    <row r="69" spans="1:9" x14ac:dyDescent="0.2">
      <c r="A69" s="11">
        <v>2092</v>
      </c>
      <c r="B69" s="14">
        <f t="shared" si="9"/>
        <v>141.12438666666623</v>
      </c>
      <c r="C69" s="14">
        <f t="shared" si="10"/>
        <v>196.72500000000076</v>
      </c>
      <c r="D69" s="14">
        <f t="shared" si="11"/>
        <v>3.7092000000000258</v>
      </c>
      <c r="E69" s="14">
        <f t="shared" si="12"/>
        <v>17.357999999999876</v>
      </c>
      <c r="F69" s="14">
        <f t="shared" si="13"/>
        <v>2.2692000000000023</v>
      </c>
      <c r="G69" s="14">
        <f t="shared" si="14"/>
        <v>0.89304000000000028</v>
      </c>
      <c r="H69" s="14">
        <f t="shared" si="15"/>
        <v>0.36599999999999988</v>
      </c>
      <c r="I69" s="15">
        <f t="shared" si="16"/>
        <v>0.1317600000000001</v>
      </c>
    </row>
    <row r="70" spans="1:9" x14ac:dyDescent="0.2">
      <c r="A70" s="11">
        <v>2093</v>
      </c>
      <c r="B70" s="14">
        <f t="shared" si="9"/>
        <v>129.31221333333289</v>
      </c>
      <c r="C70" s="14">
        <f t="shared" si="10"/>
        <v>195.65000000000077</v>
      </c>
      <c r="D70" s="14">
        <f t="shared" si="11"/>
        <v>3.6168000000000258</v>
      </c>
      <c r="E70" s="14">
        <f t="shared" si="12"/>
        <v>16.831999999999876</v>
      </c>
      <c r="F70" s="14">
        <f t="shared" si="13"/>
        <v>2.2568000000000024</v>
      </c>
      <c r="G70" s="14">
        <f t="shared" si="14"/>
        <v>0.88816000000000028</v>
      </c>
      <c r="H70" s="14">
        <f t="shared" si="15"/>
        <v>0.36399999999999988</v>
      </c>
      <c r="I70" s="15">
        <f t="shared" si="16"/>
        <v>0.1310400000000001</v>
      </c>
    </row>
    <row r="71" spans="1:9" x14ac:dyDescent="0.2">
      <c r="A71" s="11">
        <v>2094</v>
      </c>
      <c r="B71" s="14">
        <f t="shared" si="9"/>
        <v>117.50003999999956</v>
      </c>
      <c r="C71" s="14">
        <f t="shared" si="10"/>
        <v>194.57500000000078</v>
      </c>
      <c r="D71" s="14">
        <f t="shared" si="11"/>
        <v>3.5244000000000257</v>
      </c>
      <c r="E71" s="14">
        <f t="shared" si="12"/>
        <v>16.305999999999877</v>
      </c>
      <c r="F71" s="14">
        <f t="shared" si="13"/>
        <v>2.2444000000000024</v>
      </c>
      <c r="G71" s="14">
        <f t="shared" si="14"/>
        <v>0.88328000000000029</v>
      </c>
      <c r="H71" s="14">
        <f t="shared" si="15"/>
        <v>0.36199999999999988</v>
      </c>
      <c r="I71" s="15">
        <f t="shared" si="16"/>
        <v>0.1303200000000001</v>
      </c>
    </row>
    <row r="72" spans="1:9" x14ac:dyDescent="0.2">
      <c r="A72" s="11">
        <v>2095</v>
      </c>
      <c r="B72" s="14">
        <f t="shared" si="9"/>
        <v>105.68786666666622</v>
      </c>
      <c r="C72" s="14">
        <f t="shared" si="10"/>
        <v>193.5000000000008</v>
      </c>
      <c r="D72" s="14">
        <f t="shared" si="11"/>
        <v>3.4320000000000257</v>
      </c>
      <c r="E72" s="14">
        <f t="shared" si="12"/>
        <v>15.779999999999877</v>
      </c>
      <c r="F72" s="14">
        <f t="shared" si="13"/>
        <v>2.2320000000000024</v>
      </c>
      <c r="G72" s="14">
        <f t="shared" si="14"/>
        <v>0.87840000000000029</v>
      </c>
      <c r="H72" s="14">
        <f t="shared" si="15"/>
        <v>0.35999999999999988</v>
      </c>
      <c r="I72" s="15">
        <f t="shared" si="16"/>
        <v>0.1296000000000001</v>
      </c>
    </row>
    <row r="73" spans="1:9" x14ac:dyDescent="0.2">
      <c r="A73" s="11">
        <v>2096</v>
      </c>
      <c r="B73" s="14">
        <f t="shared" si="9"/>
        <v>93.87569333333289</v>
      </c>
      <c r="C73" s="14">
        <f t="shared" si="10"/>
        <v>192.42500000000081</v>
      </c>
      <c r="D73" s="14">
        <f t="shared" si="11"/>
        <v>3.3396000000000257</v>
      </c>
      <c r="E73" s="14">
        <f t="shared" si="12"/>
        <v>15.253999999999877</v>
      </c>
      <c r="F73" s="14">
        <f t="shared" si="13"/>
        <v>2.2196000000000025</v>
      </c>
      <c r="G73" s="14">
        <f t="shared" si="14"/>
        <v>0.8735200000000003</v>
      </c>
      <c r="H73" s="14">
        <f t="shared" si="15"/>
        <v>0.35799999999999987</v>
      </c>
      <c r="I73" s="15">
        <f t="shared" si="16"/>
        <v>0.12888000000000011</v>
      </c>
    </row>
    <row r="74" spans="1:9" x14ac:dyDescent="0.2">
      <c r="A74" s="11">
        <v>2097</v>
      </c>
      <c r="B74" s="14">
        <f t="shared" si="9"/>
        <v>82.063519999999556</v>
      </c>
      <c r="C74" s="14">
        <f t="shared" si="10"/>
        <v>191.35000000000082</v>
      </c>
      <c r="D74" s="14">
        <f t="shared" si="11"/>
        <v>3.2472000000000256</v>
      </c>
      <c r="E74" s="14">
        <f t="shared" si="12"/>
        <v>14.727999999999877</v>
      </c>
      <c r="F74" s="14">
        <f t="shared" si="13"/>
        <v>2.2072000000000025</v>
      </c>
      <c r="G74" s="14">
        <f t="shared" si="14"/>
        <v>0.8686400000000003</v>
      </c>
      <c r="H74" s="14">
        <f t="shared" si="15"/>
        <v>0.35599999999999987</v>
      </c>
      <c r="I74" s="15">
        <f t="shared" si="16"/>
        <v>0.12816000000000011</v>
      </c>
    </row>
    <row r="75" spans="1:9" x14ac:dyDescent="0.2">
      <c r="A75" s="11">
        <v>2098</v>
      </c>
      <c r="B75" s="14">
        <f t="shared" si="9"/>
        <v>70.251346666666223</v>
      </c>
      <c r="C75" s="14">
        <f t="shared" si="10"/>
        <v>190.27500000000083</v>
      </c>
      <c r="D75" s="14">
        <f t="shared" si="11"/>
        <v>3.1548000000000256</v>
      </c>
      <c r="E75" s="14">
        <f t="shared" si="12"/>
        <v>14.201999999999877</v>
      </c>
      <c r="F75" s="14">
        <f t="shared" si="13"/>
        <v>2.1948000000000025</v>
      </c>
      <c r="G75" s="14">
        <f t="shared" si="14"/>
        <v>0.86376000000000031</v>
      </c>
      <c r="H75" s="14">
        <f t="shared" si="15"/>
        <v>0.35399999999999987</v>
      </c>
      <c r="I75" s="15">
        <f t="shared" si="16"/>
        <v>0.12744000000000011</v>
      </c>
    </row>
    <row r="76" spans="1:9" x14ac:dyDescent="0.2">
      <c r="A76" s="11">
        <v>2099</v>
      </c>
      <c r="B76" s="14">
        <f t="shared" si="9"/>
        <v>58.439173333332889</v>
      </c>
      <c r="C76" s="14">
        <f t="shared" si="10"/>
        <v>189.20000000000084</v>
      </c>
      <c r="D76" s="14">
        <f t="shared" si="11"/>
        <v>3.0624000000000255</v>
      </c>
      <c r="E76" s="14">
        <f t="shared" si="12"/>
        <v>13.675999999999878</v>
      </c>
      <c r="F76" s="14">
        <f t="shared" si="13"/>
        <v>2.1824000000000026</v>
      </c>
      <c r="G76" s="14">
        <f t="shared" si="14"/>
        <v>0.85888000000000031</v>
      </c>
      <c r="H76" s="14">
        <f t="shared" si="15"/>
        <v>0.35199999999999987</v>
      </c>
      <c r="I76" s="15">
        <f t="shared" si="16"/>
        <v>0.12672000000000011</v>
      </c>
    </row>
    <row r="77" spans="1:9" x14ac:dyDescent="0.2">
      <c r="A77" s="16">
        <v>2100</v>
      </c>
      <c r="B77" s="17">
        <f t="shared" si="9"/>
        <v>46.626999999999555</v>
      </c>
      <c r="C77" s="17">
        <f t="shared" si="10"/>
        <v>188.12500000000085</v>
      </c>
      <c r="D77" s="17">
        <f t="shared" si="11"/>
        <v>2.9700000000000255</v>
      </c>
      <c r="E77" s="17">
        <f t="shared" si="12"/>
        <v>13.149999999999878</v>
      </c>
      <c r="F77" s="17">
        <f t="shared" si="13"/>
        <v>2.1700000000000026</v>
      </c>
      <c r="G77" s="17">
        <f t="shared" si="14"/>
        <v>0.85400000000000031</v>
      </c>
      <c r="H77" s="17">
        <f t="shared" si="15"/>
        <v>0.34999999999999987</v>
      </c>
      <c r="I77" s="18">
        <f t="shared" si="16"/>
        <v>0.12600000000000011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Thomas David Hunn</cp:lastModifiedBy>
  <dcterms:created xsi:type="dcterms:W3CDTF">2026-04-13T16:18:06Z</dcterms:created>
  <dcterms:modified xsi:type="dcterms:W3CDTF">2026-04-27T11:14:48Z</dcterms:modified>
</cp:coreProperties>
</file>