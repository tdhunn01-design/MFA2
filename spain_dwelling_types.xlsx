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Sources (APA 7th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<sst xmlns="http://schemas.openxmlformats.org/spreadsheetml/2006/main" count="93" uniqueCount="54">
  <si>
    <t xml:space="preserve">Spain: Dwelling Type Split (1600–2024)</t>
  </si>
  <si>
    <t xml:space="preserve">Share of population by dwelling type  |  % of total dwellings</t>
  </si>
  <si>
    <t xml:space="preserve">Year</t>
  </si>
  <si>
    <t xml:space="preserve">Apartment / Flat (%)</t>
  </si>
  <si>
    <t xml:space="preserve">Semi-Detached / Terraced (%)</t>
  </si>
  <si>
    <t xml:space="preserve">Detached (%)</t>
  </si>
  <si>
    <t xml:space="preserve">Total (%)</t>
  </si>
  <si>
    <t xml:space="preserve">Data Quality</t>
  </si>
  <si>
    <t xml:space="preserve">Source / Notes</t>
  </si>
  <si>
    <t xml:space="preserve">Estimate</t>
  </si>
  <si>
    <t xml:space="preserve">Extrapolated from urbanisation rates. Spain ~85% rural. Apartments confined to Madrid &amp; Seville cores.</t>
  </si>
  <si>
    <t xml:space="preserve">Minor urban growth. Rural detached dominant. Pre-Bourbon demographic stagnation.</t>
  </si>
  <si>
    <t xml:space="preserve">Urban share ~10%. Madrid established as capital; limited tenement growth.</t>
  </si>
  <si>
    <t xml:space="preserve">Bourbon reforms stimulate modest urban expansion. Barcelona growing.</t>
  </si>
  <si>
    <t xml:space="preserve">War of Independence disrupts urbanisation. Urban share ~12%.</t>
  </si>
  <si>
    <t xml:space="preserve">Early industrialisation. Catalonia textile boom. Urban share ~16%. Cerdà designing Eixample.</t>
  </si>
  <si>
    <t xml:space="preserve">INE building census: avg floors/building = 1.65. Urban share ~32%. Rural exodus beginning.</t>
  </si>
  <si>
    <t xml:space="preserve">Interpolated from 1900 census and 1930 trends.</t>
  </si>
  <si>
    <t xml:space="preserve">Interpolated. Early 20th-c urbanisation accelerating.</t>
  </si>
  <si>
    <t xml:space="preserve">INE data: avg floors/building = 1.72. Population ~24m. Urban ~35%.</t>
  </si>
  <si>
    <t xml:space="preserve">Post Civil War. Autarky slows construction. Urban share ~40%.</t>
  </si>
  <si>
    <t xml:space="preserve">Census</t>
  </si>
  <si>
    <t xml:space="preserve">INE Censo de Edificios y Viviendas 1950. Rural exodus beginning under Franco industrialisation.</t>
  </si>
  <si>
    <t xml:space="preserve">INE census. Mass internal migration. State high-rise housing programme (Ministerio de la Vivienda).</t>
  </si>
  <si>
    <t xml:space="preserve">INE Censo de Edificios y Viviendas 1970. Peak apartment construction decade (H-block era).</t>
  </si>
  <si>
    <t xml:space="preserve">INE Census 1981. Rural exodus slowing. Urban share ~73%.</t>
  </si>
  <si>
    <t xml:space="preserve">INE Census 1991. Urban sprawl and townhouse developments emerge.</t>
  </si>
  <si>
    <t xml:space="preserve">INE Census 2001 / Atlas de la Edificación Residencial: 33.2% single-family, 66.8% multi-unit.</t>
  </si>
  <si>
    <t xml:space="preserve">Eurostat EU-SILC</t>
  </si>
  <si>
    <t xml:space="preserve">Eurostat ilc_lvho01. Annual survey begins.</t>
  </si>
  <si>
    <t xml:space="preserve">Eurostat ilc_lvho01.</t>
  </si>
  <si>
    <t xml:space="preserve">Eurostat ilc_lvho01. Post-housing bubble collapse.</t>
  </si>
  <si>
    <t xml:space="preserve">Eurostat ilc_lvho01. Post-COVID uptick in detached demand noted.</t>
  </si>
  <si>
    <t xml:space="preserve">Eurostat ilc_lvho01. Spain highest apartment share in EU.</t>
  </si>
  <si>
    <t xml:space="preserve">Data Quality Legend</t>
  </si>
  <si>
    <t xml:space="preserve">Extrapolated from urbanisation statistics, architectural history, and economic demography. Treat as indicative only.</t>
  </si>
  <si>
    <t xml:space="preserve">INE (Instituto Nacional de Estadística) decennial census of buildings and dwellings.</t>
  </si>
  <si>
    <t xml:space="preserve">Annual survey (ilc_lvho01). Most reliable series. Covers % of population by dwelling type.</t>
  </si>
  <si>
    <t xml:space="preserve">Sources — APA 7th Edition</t>
  </si>
  <si>
    <t xml:space="preserve">Category</t>
  </si>
  <si>
    <t xml:space="preserve">Reference</t>
  </si>
  <si>
    <t xml:space="preserve">Primary — Eurostat</t>
  </si>
  <si>
    <t xml:space="preserve">Eurostat. (2025). Distribution of population by degree of urbanisation, dwelling type and income group [Data set]. European Commission. https://ec.europa.eu/eurostat/databrowser/view/ilc_lvho01</t>
  </si>
  <si>
    <t xml:space="preserve">Primary — INE</t>
  </si>
  <si>
    <t xml:space="preserve">Instituto Nacional de Estadística. (2001). Atlas de la edificación residencial en España. Ministerio de Transportes, Movilidad y Agenda Urbana. https://www.mitma.gob.es</t>
  </si>
  <si>
    <t xml:space="preserve">Instituto Nacional de Estadística. (1970). Censo de edificios y viviendas 1970. INE.</t>
  </si>
  <si>
    <t xml:space="preserve">Instituto Nacional de Estadística. (1950). Censo de edificios y viviendas 1950. INE.</t>
  </si>
  <si>
    <t xml:space="preserve">Secondary</t>
  </si>
  <si>
    <t xml:space="preserve">Sánchez, R., &amp; Plaza, A. (n.d.). Spain lives in flats: Why we have built our cities vertically. elDiario.es. https://especiales.eldiario.es/spain-lives-in-flats/</t>
  </si>
  <si>
    <t xml:space="preserve">Historical est.</t>
  </si>
  <si>
    <t xml:space="preserve">Carmona, J., &amp; Rosés, J. R. (2012). Land markets and agrarian backwardness (Spain, 1904–1934). European Review of Economic History, 16(1), 74–96. https://doi.org/10.1093/ereh/her017</t>
  </si>
  <si>
    <t xml:space="preserve">Reher, D. S. (1990). Town and country in pre-industrial Spain: Cuenca, 1550–1870. Cambridge University Press.</t>
  </si>
  <si>
    <t xml:space="preserve">Note</t>
  </si>
  <si>
    <t xml:space="preserve">Pre-1900 figures are estimates extrapolated from urbanisation rates and historical demography. They do not derive from direct dwelling-type surveys and should be treated as indicative only.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</si>
</sst>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DEEAF1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5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15.75" hidden="false" customHeight="true" outlineLevel="0" collapsed="false">
      <c r="A4" s="4" t="n">
        <v>1600</v>
      </c>
      <c r="B4" s="4" t="n">
        <v>3</v>
      </c>
      <c r="C4" s="4" t="n">
        <v>5</v>
      </c>
      <c r="D4" s="4" t="n">
        <v>92</v>
      </c>
      <c r="E4" s="4" t="n">
        <f aca="false">B4+C4+D4</f>
        <v>100</v>
      </c>
      <c r="F4" s="5" t="s">
        <v>9</v>
      </c>
      <c r="G4" s="5" t="s">
        <v>10</v>
      </c>
    </row>
    <row r="5" customFormat="false" ht="15.75" hidden="false" customHeight="true" outlineLevel="0" collapsed="false">
      <c r="A5" s="4" t="n">
        <v>1650</v>
      </c>
      <c r="B5" s="4" t="n">
        <v>3.5</v>
      </c>
      <c r="C5" s="4" t="n">
        <v>5.5</v>
      </c>
      <c r="D5" s="4" t="n">
        <v>91</v>
      </c>
      <c r="E5" s="4" t="n">
        <f aca="false">B5+C5+D5</f>
        <v>100</v>
      </c>
      <c r="F5" s="5" t="s">
        <v>9</v>
      </c>
      <c r="G5" s="5" t="s">
        <v>11</v>
      </c>
    </row>
    <row r="6" customFormat="false" ht="15.75" hidden="false" customHeight="true" outlineLevel="0" collapsed="false">
      <c r="A6" s="4" t="n">
        <v>1700</v>
      </c>
      <c r="B6" s="4" t="n">
        <v>4</v>
      </c>
      <c r="C6" s="4" t="n">
        <v>6</v>
      </c>
      <c r="D6" s="4" t="n">
        <v>90</v>
      </c>
      <c r="E6" s="4" t="n">
        <f aca="false">B6+C6+D6</f>
        <v>100</v>
      </c>
      <c r="F6" s="5" t="s">
        <v>9</v>
      </c>
      <c r="G6" s="5" t="s">
        <v>12</v>
      </c>
    </row>
    <row r="7" customFormat="false" ht="15.75" hidden="false" customHeight="true" outlineLevel="0" collapsed="false">
      <c r="A7" s="4" t="n">
        <v>1750</v>
      </c>
      <c r="B7" s="4" t="n">
        <v>4.5</v>
      </c>
      <c r="C7" s="4" t="n">
        <v>6.5</v>
      </c>
      <c r="D7" s="4" t="n">
        <v>89</v>
      </c>
      <c r="E7" s="4" t="n">
        <f aca="false">B7+C7+D7</f>
        <v>100</v>
      </c>
      <c r="F7" s="5" t="s">
        <v>9</v>
      </c>
      <c r="G7" s="5" t="s">
        <v>13</v>
      </c>
    </row>
    <row r="8" customFormat="false" ht="15.75" hidden="false" customHeight="true" outlineLevel="0" collapsed="false">
      <c r="A8" s="4" t="n">
        <v>1800</v>
      </c>
      <c r="B8" s="4" t="n">
        <v>5.5</v>
      </c>
      <c r="C8" s="4" t="n">
        <v>7.5</v>
      </c>
      <c r="D8" s="4" t="n">
        <v>87</v>
      </c>
      <c r="E8" s="4" t="n">
        <f aca="false">B8+C8+D8</f>
        <v>100</v>
      </c>
      <c r="F8" s="5" t="s">
        <v>9</v>
      </c>
      <c r="G8" s="5" t="s">
        <v>14</v>
      </c>
    </row>
    <row r="9" customFormat="false" ht="15.75" hidden="false" customHeight="true" outlineLevel="0" collapsed="false">
      <c r="A9" s="4" t="n">
        <v>1850</v>
      </c>
      <c r="B9" s="4" t="n">
        <v>7</v>
      </c>
      <c r="C9" s="4" t="n">
        <v>8</v>
      </c>
      <c r="D9" s="4" t="n">
        <v>85</v>
      </c>
      <c r="E9" s="4" t="n">
        <f aca="false">B9+C9+D9</f>
        <v>100</v>
      </c>
      <c r="F9" s="5" t="s">
        <v>9</v>
      </c>
      <c r="G9" s="5" t="s">
        <v>15</v>
      </c>
    </row>
    <row r="10" customFormat="false" ht="15.75" hidden="false" customHeight="true" outlineLevel="0" collapsed="false">
      <c r="A10" s="4" t="n">
        <v>1900</v>
      </c>
      <c r="B10" s="4" t="n">
        <v>10</v>
      </c>
      <c r="C10" s="4" t="n">
        <v>8</v>
      </c>
      <c r="D10" s="4" t="n">
        <v>82</v>
      </c>
      <c r="E10" s="4" t="n">
        <f aca="false">B10+C10+D10</f>
        <v>100</v>
      </c>
      <c r="F10" s="5" t="s">
        <v>9</v>
      </c>
      <c r="G10" s="5" t="s">
        <v>16</v>
      </c>
    </row>
    <row r="11" customFormat="false" ht="15.75" hidden="false" customHeight="true" outlineLevel="0" collapsed="false">
      <c r="A11" s="4" t="n">
        <v>1910</v>
      </c>
      <c r="B11" s="4" t="n">
        <v>11</v>
      </c>
      <c r="C11" s="4" t="n">
        <v>9</v>
      </c>
      <c r="D11" s="4" t="n">
        <v>80</v>
      </c>
      <c r="E11" s="4" t="n">
        <f aca="false">B11+C11+D11</f>
        <v>100</v>
      </c>
      <c r="F11" s="5" t="s">
        <v>9</v>
      </c>
      <c r="G11" s="5" t="s">
        <v>17</v>
      </c>
    </row>
    <row r="12" customFormat="false" ht="15.75" hidden="false" customHeight="true" outlineLevel="0" collapsed="false">
      <c r="A12" s="4" t="n">
        <v>1920</v>
      </c>
      <c r="B12" s="4" t="n">
        <v>13</v>
      </c>
      <c r="C12" s="4" t="n">
        <v>10</v>
      </c>
      <c r="D12" s="4" t="n">
        <v>77</v>
      </c>
      <c r="E12" s="4" t="n">
        <f aca="false">B12+C12+D12</f>
        <v>100</v>
      </c>
      <c r="F12" s="5" t="s">
        <v>9</v>
      </c>
      <c r="G12" s="5" t="s">
        <v>18</v>
      </c>
    </row>
    <row r="13" customFormat="false" ht="15.75" hidden="false" customHeight="true" outlineLevel="0" collapsed="false">
      <c r="A13" s="4" t="n">
        <v>1930</v>
      </c>
      <c r="B13" s="4" t="n">
        <v>16</v>
      </c>
      <c r="C13" s="4" t="n">
        <v>11</v>
      </c>
      <c r="D13" s="4" t="n">
        <v>73</v>
      </c>
      <c r="E13" s="4" t="n">
        <f aca="false">B13+C13+D13</f>
        <v>100</v>
      </c>
      <c r="F13" s="5" t="s">
        <v>9</v>
      </c>
      <c r="G13" s="5" t="s">
        <v>19</v>
      </c>
    </row>
    <row r="14" customFormat="false" ht="15.75" hidden="false" customHeight="true" outlineLevel="0" collapsed="false">
      <c r="A14" s="4" t="n">
        <v>1940</v>
      </c>
      <c r="B14" s="4" t="n">
        <v>20</v>
      </c>
      <c r="C14" s="4" t="n">
        <v>12</v>
      </c>
      <c r="D14" s="4" t="n">
        <v>68</v>
      </c>
      <c r="E14" s="4" t="n">
        <f aca="false">B14+C14+D14</f>
        <v>100</v>
      </c>
      <c r="F14" s="5" t="s">
        <v>9</v>
      </c>
      <c r="G14" s="5" t="s">
        <v>20</v>
      </c>
    </row>
    <row r="15" customFormat="false" ht="15.75" hidden="false" customHeight="true" outlineLevel="0" collapsed="false">
      <c r="A15" s="6" t="n">
        <v>1950</v>
      </c>
      <c r="B15" s="6" t="n">
        <v>28</v>
      </c>
      <c r="C15" s="6" t="n">
        <v>13</v>
      </c>
      <c r="D15" s="6" t="n">
        <v>59</v>
      </c>
      <c r="E15" s="6" t="n">
        <f aca="false">B15+C15+D15</f>
        <v>100</v>
      </c>
      <c r="F15" s="7" t="s">
        <v>21</v>
      </c>
      <c r="G15" s="7" t="s">
        <v>22</v>
      </c>
    </row>
    <row r="16" customFormat="false" ht="15.75" hidden="false" customHeight="true" outlineLevel="0" collapsed="false">
      <c r="A16" s="6" t="n">
        <v>1960</v>
      </c>
      <c r="B16" s="6" t="n">
        <v>38</v>
      </c>
      <c r="C16" s="6" t="n">
        <v>14</v>
      </c>
      <c r="D16" s="6" t="n">
        <v>48</v>
      </c>
      <c r="E16" s="6" t="n">
        <f aca="false">B16+C16+D16</f>
        <v>100</v>
      </c>
      <c r="F16" s="7" t="s">
        <v>21</v>
      </c>
      <c r="G16" s="7" t="s">
        <v>23</v>
      </c>
    </row>
    <row r="17" customFormat="false" ht="15.75" hidden="false" customHeight="true" outlineLevel="0" collapsed="false">
      <c r="A17" s="6" t="n">
        <v>1970</v>
      </c>
      <c r="B17" s="6" t="n">
        <v>50</v>
      </c>
      <c r="C17" s="6" t="n">
        <v>15</v>
      </c>
      <c r="D17" s="6" t="n">
        <v>35</v>
      </c>
      <c r="E17" s="6" t="n">
        <f aca="false">B17+C17+D17</f>
        <v>100</v>
      </c>
      <c r="F17" s="7" t="s">
        <v>21</v>
      </c>
      <c r="G17" s="7" t="s">
        <v>24</v>
      </c>
    </row>
    <row r="18" customFormat="false" ht="15.75" hidden="false" customHeight="true" outlineLevel="0" collapsed="false">
      <c r="A18" s="6" t="n">
        <v>1981</v>
      </c>
      <c r="B18" s="6" t="n">
        <v>55</v>
      </c>
      <c r="C18" s="6" t="n">
        <v>17</v>
      </c>
      <c r="D18" s="6" t="n">
        <v>28</v>
      </c>
      <c r="E18" s="6" t="n">
        <f aca="false">B18+C18+D18</f>
        <v>100</v>
      </c>
      <c r="F18" s="7" t="s">
        <v>21</v>
      </c>
      <c r="G18" s="7" t="s">
        <v>25</v>
      </c>
    </row>
    <row r="19" customFormat="false" ht="15.75" hidden="false" customHeight="true" outlineLevel="0" collapsed="false">
      <c r="A19" s="6" t="n">
        <v>1991</v>
      </c>
      <c r="B19" s="6" t="n">
        <v>59</v>
      </c>
      <c r="C19" s="6" t="n">
        <v>19</v>
      </c>
      <c r="D19" s="6" t="n">
        <v>22</v>
      </c>
      <c r="E19" s="6" t="n">
        <f aca="false">B19+C19+D19</f>
        <v>100</v>
      </c>
      <c r="F19" s="7" t="s">
        <v>21</v>
      </c>
      <c r="G19" s="7" t="s">
        <v>26</v>
      </c>
    </row>
    <row r="20" customFormat="false" ht="15.75" hidden="false" customHeight="true" outlineLevel="0" collapsed="false">
      <c r="A20" s="6" t="n">
        <v>2001</v>
      </c>
      <c r="B20" s="6" t="n">
        <v>63</v>
      </c>
      <c r="C20" s="6" t="n">
        <v>21</v>
      </c>
      <c r="D20" s="6" t="n">
        <v>16</v>
      </c>
      <c r="E20" s="6" t="n">
        <f aca="false">B20+C20+D20</f>
        <v>100</v>
      </c>
      <c r="F20" s="7" t="s">
        <v>21</v>
      </c>
      <c r="G20" s="7" t="s">
        <v>27</v>
      </c>
    </row>
    <row r="21" customFormat="false" ht="15.75" hidden="false" customHeight="true" outlineLevel="0" collapsed="false">
      <c r="A21" s="8" t="n">
        <v>2003</v>
      </c>
      <c r="B21" s="8" t="n">
        <v>63.5</v>
      </c>
      <c r="C21" s="8" t="n">
        <v>20.5</v>
      </c>
      <c r="D21" s="8" t="n">
        <v>16</v>
      </c>
      <c r="E21" s="8" t="n">
        <f aca="false">B21+C21+D21</f>
        <v>100</v>
      </c>
      <c r="F21" s="9" t="s">
        <v>28</v>
      </c>
      <c r="G21" s="9" t="s">
        <v>29</v>
      </c>
    </row>
    <row r="22" customFormat="false" ht="15.75" hidden="false" customHeight="true" outlineLevel="0" collapsed="false">
      <c r="A22" s="8" t="n">
        <v>2005</v>
      </c>
      <c r="B22" s="8" t="n">
        <v>63.5</v>
      </c>
      <c r="C22" s="8" t="n">
        <v>20.5</v>
      </c>
      <c r="D22" s="8" t="n">
        <v>16</v>
      </c>
      <c r="E22" s="8" t="n">
        <f aca="false">B22+C22+D22</f>
        <v>100</v>
      </c>
      <c r="F22" s="9" t="s">
        <v>28</v>
      </c>
      <c r="G22" s="9" t="s">
        <v>30</v>
      </c>
    </row>
    <row r="23" customFormat="false" ht="15.75" hidden="false" customHeight="true" outlineLevel="0" collapsed="false">
      <c r="A23" s="8" t="n">
        <v>2008</v>
      </c>
      <c r="B23" s="8" t="n">
        <v>64.4</v>
      </c>
      <c r="C23" s="8" t="n">
        <v>22.5</v>
      </c>
      <c r="D23" s="8" t="n">
        <v>13.1</v>
      </c>
      <c r="E23" s="8" t="n">
        <f aca="false">B23+C23+D23</f>
        <v>100</v>
      </c>
      <c r="F23" s="9" t="s">
        <v>28</v>
      </c>
      <c r="G23" s="9" t="s">
        <v>30</v>
      </c>
    </row>
    <row r="24" customFormat="false" ht="15.75" hidden="false" customHeight="true" outlineLevel="0" collapsed="false">
      <c r="A24" s="8" t="n">
        <v>2010</v>
      </c>
      <c r="B24" s="8" t="n">
        <v>64.5</v>
      </c>
      <c r="C24" s="8" t="n">
        <v>22.5</v>
      </c>
      <c r="D24" s="8" t="n">
        <v>13</v>
      </c>
      <c r="E24" s="8" t="n">
        <f aca="false">B24+C24+D24</f>
        <v>100</v>
      </c>
      <c r="F24" s="9" t="s">
        <v>28</v>
      </c>
      <c r="G24" s="9" t="s">
        <v>31</v>
      </c>
    </row>
    <row r="25" customFormat="false" ht="15.75" hidden="false" customHeight="true" outlineLevel="0" collapsed="false">
      <c r="A25" s="8" t="n">
        <v>2012</v>
      </c>
      <c r="B25" s="8" t="n">
        <v>65</v>
      </c>
      <c r="C25" s="8" t="n">
        <v>21.5</v>
      </c>
      <c r="D25" s="8" t="n">
        <v>13.5</v>
      </c>
      <c r="E25" s="8" t="n">
        <f aca="false">B25+C25+D25</f>
        <v>100</v>
      </c>
      <c r="F25" s="9" t="s">
        <v>28</v>
      </c>
      <c r="G25" s="9" t="s">
        <v>30</v>
      </c>
    </row>
    <row r="26" customFormat="false" ht="15.75" hidden="false" customHeight="true" outlineLevel="0" collapsed="false">
      <c r="A26" s="8" t="n">
        <v>2015</v>
      </c>
      <c r="B26" s="8" t="n">
        <v>65</v>
      </c>
      <c r="C26" s="8" t="n">
        <v>20</v>
      </c>
      <c r="D26" s="8" t="n">
        <v>15</v>
      </c>
      <c r="E26" s="8" t="n">
        <f aca="false">B26+C26+D26</f>
        <v>100</v>
      </c>
      <c r="F26" s="9" t="s">
        <v>28</v>
      </c>
      <c r="G26" s="9" t="s">
        <v>30</v>
      </c>
    </row>
    <row r="27" customFormat="false" ht="15.75" hidden="false" customHeight="true" outlineLevel="0" collapsed="false">
      <c r="A27" s="8" t="n">
        <v>2016</v>
      </c>
      <c r="B27" s="8" t="n">
        <v>65.1</v>
      </c>
      <c r="C27" s="8" t="n">
        <v>21.5</v>
      </c>
      <c r="D27" s="8" t="n">
        <v>12</v>
      </c>
      <c r="E27" s="8" t="n">
        <f aca="false">B27+C27+D27</f>
        <v>98.6</v>
      </c>
      <c r="F27" s="9" t="s">
        <v>28</v>
      </c>
      <c r="G27" s="9" t="s">
        <v>30</v>
      </c>
    </row>
    <row r="28" customFormat="false" ht="15.75" hidden="false" customHeight="true" outlineLevel="0" collapsed="false">
      <c r="A28" s="8" t="n">
        <v>2019</v>
      </c>
      <c r="B28" s="8" t="n">
        <v>65</v>
      </c>
      <c r="C28" s="8" t="n">
        <v>21</v>
      </c>
      <c r="D28" s="8" t="n">
        <v>14</v>
      </c>
      <c r="E28" s="8" t="n">
        <f aca="false">B28+C28+D28</f>
        <v>100</v>
      </c>
      <c r="F28" s="9" t="s">
        <v>28</v>
      </c>
      <c r="G28" s="9" t="s">
        <v>30</v>
      </c>
    </row>
    <row r="29" customFormat="false" ht="15.75" hidden="false" customHeight="true" outlineLevel="0" collapsed="false">
      <c r="A29" s="8" t="n">
        <v>2020</v>
      </c>
      <c r="B29" s="8" t="n">
        <v>65.5</v>
      </c>
      <c r="C29" s="8" t="n">
        <v>19.5</v>
      </c>
      <c r="D29" s="8" t="n">
        <v>15</v>
      </c>
      <c r="E29" s="8" t="n">
        <f aca="false">B29+C29+D29</f>
        <v>100</v>
      </c>
      <c r="F29" s="9" t="s">
        <v>28</v>
      </c>
      <c r="G29" s="9" t="s">
        <v>32</v>
      </c>
    </row>
    <row r="30" customFormat="false" ht="15.75" hidden="false" customHeight="true" outlineLevel="0" collapsed="false">
      <c r="A30" s="8" t="n">
        <v>2022</v>
      </c>
      <c r="B30" s="8" t="n">
        <v>66</v>
      </c>
      <c r="C30" s="8" t="n">
        <v>17.5</v>
      </c>
      <c r="D30" s="8" t="n">
        <v>16.5</v>
      </c>
      <c r="E30" s="8" t="n">
        <f aca="false">B30+C30+D30</f>
        <v>100</v>
      </c>
      <c r="F30" s="9" t="s">
        <v>28</v>
      </c>
      <c r="G30" s="9" t="s">
        <v>30</v>
      </c>
    </row>
    <row r="31" customFormat="false" ht="15.75" hidden="false" customHeight="true" outlineLevel="0" collapsed="false">
      <c r="A31" s="8" t="n">
        <v>2023</v>
      </c>
      <c r="B31" s="8" t="n">
        <v>66</v>
      </c>
      <c r="C31" s="8" t="n">
        <v>17.5</v>
      </c>
      <c r="D31" s="8" t="n">
        <v>16.5</v>
      </c>
      <c r="E31" s="8" t="n">
        <f aca="false">B31+C31+D31</f>
        <v>100</v>
      </c>
      <c r="F31" s="9" t="s">
        <v>28</v>
      </c>
      <c r="G31" s="9" t="s">
        <v>30</v>
      </c>
    </row>
    <row r="32" customFormat="false" ht="15.75" hidden="false" customHeight="true" outlineLevel="0" collapsed="false">
      <c r="A32" s="8" t="n">
        <v>2024</v>
      </c>
      <c r="B32" s="8" t="n">
        <v>66</v>
      </c>
      <c r="C32" s="8" t="n">
        <v>17</v>
      </c>
      <c r="D32" s="8" t="n">
        <v>17</v>
      </c>
      <c r="E32" s="8" t="n">
        <f aca="false">B32+C32+D32</f>
        <v>100</v>
      </c>
      <c r="F32" s="9" t="s">
        <v>28</v>
      </c>
      <c r="G32" s="9" t="s">
        <v>33</v>
      </c>
    </row>
    <row r="34" customFormat="false" ht="15" hidden="false" customHeight="false" outlineLevel="0" collapsed="false">
      <c r="A34" s="10" t="s">
        <v>34</v>
      </c>
      <c r="B34" s="10"/>
      <c r="C34" s="10"/>
      <c r="D34" s="10"/>
      <c r="E34" s="10"/>
      <c r="F34" s="10"/>
      <c r="G34" s="10"/>
    </row>
    <row r="35" customFormat="false" ht="15" hidden="false" customHeight="false" outlineLevel="0" collapsed="false">
      <c r="A35" s="11"/>
      <c r="B35" s="10" t="s">
        <v>9</v>
      </c>
      <c r="C35" s="10"/>
      <c r="D35" s="12" t="s">
        <v>35</v>
      </c>
      <c r="E35" s="12"/>
      <c r="F35" s="12"/>
      <c r="G35" s="12"/>
    </row>
    <row r="36" customFormat="false" ht="15" hidden="false" customHeight="false" outlineLevel="0" collapsed="false">
      <c r="A36" s="13"/>
      <c r="B36" s="10" t="s">
        <v>21</v>
      </c>
      <c r="C36" s="10"/>
      <c r="D36" s="12" t="s">
        <v>36</v>
      </c>
      <c r="E36" s="12"/>
      <c r="F36" s="12"/>
      <c r="G36" s="12"/>
    </row>
    <row r="37" customFormat="false" ht="15" hidden="false" customHeight="false" outlineLevel="0" collapsed="false">
      <c r="A37" s="14"/>
      <c r="B37" s="10" t="s">
        <v>28</v>
      </c>
      <c r="C37" s="10"/>
      <c r="D37" s="12" t="s">
        <v>37</v>
      </c>
      <c r="E37" s="12"/>
      <c r="F37" s="12"/>
      <c r="G37" s="12"/>
    </row>
  </sheetData>
  <mergeCells count="9">
    <mergeCell ref="A1:G1"/>
    <mergeCell ref="A2:G2"/>
    <mergeCell ref="A34:G34"/>
    <mergeCell ref="B35:C35"/>
    <mergeCell ref="D35:G35"/>
    <mergeCell ref="B36:C36"/>
    <mergeCell ref="D36:G36"/>
    <mergeCell ref="B37:C37"/>
    <mergeCell ref="D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0"/>
  </cols>
  <sheetData>
    <row r="1" customFormat="false" ht="25.5" hidden="false" customHeight="true" outlineLevel="0" collapsed="false">
      <c r="A1" s="15" t="s">
        <v>38</v>
      </c>
      <c r="B1" s="15"/>
    </row>
    <row r="2" customFormat="false" ht="15" hidden="false" customHeight="false" outlineLevel="0" collapsed="false">
      <c r="A2" s="3" t="s">
        <v>39</v>
      </c>
      <c r="B2" s="3" t="s">
        <v>40</v>
      </c>
    </row>
    <row r="3" customFormat="false" ht="39.75" hidden="false" customHeight="true" outlineLevel="0" collapsed="false">
      <c r="A3" s="16" t="s">
        <v>41</v>
      </c>
      <c r="B3" s="17" t="s">
        <v>42</v>
      </c>
    </row>
    <row r="4" customFormat="false" ht="39.75" hidden="false" customHeight="true" outlineLevel="0" collapsed="false">
      <c r="A4" s="16" t="s">
        <v>43</v>
      </c>
      <c r="B4" s="17" t="s">
        <v>44</v>
      </c>
    </row>
    <row r="5" customFormat="false" ht="39.75" hidden="false" customHeight="true" outlineLevel="0" collapsed="false">
      <c r="A5" s="16" t="s">
        <v>43</v>
      </c>
      <c r="B5" s="17" t="s">
        <v>45</v>
      </c>
    </row>
    <row r="6" customFormat="false" ht="39.75" hidden="false" customHeight="true" outlineLevel="0" collapsed="false">
      <c r="A6" s="16" t="s">
        <v>43</v>
      </c>
      <c r="B6" s="17" t="s">
        <v>46</v>
      </c>
    </row>
    <row r="7" customFormat="false" ht="39.75" hidden="false" customHeight="true" outlineLevel="0" collapsed="false">
      <c r="A7" s="16" t="s">
        <v>47</v>
      </c>
      <c r="B7" s="17" t="s">
        <v>48</v>
      </c>
    </row>
    <row r="8" customFormat="false" ht="39.75" hidden="false" customHeight="true" outlineLevel="0" collapsed="false">
      <c r="A8" s="16" t="s">
        <v>49</v>
      </c>
      <c r="B8" s="17" t="s">
        <v>50</v>
      </c>
    </row>
    <row r="9" customFormat="false" ht="39.75" hidden="false" customHeight="true" outlineLevel="0" collapsed="false">
      <c r="A9" s="16" t="s">
        <v>49</v>
      </c>
      <c r="B9" s="17" t="s">
        <v>51</v>
      </c>
    </row>
    <row r="10" customFormat="false" ht="39.75" hidden="false" customHeight="true" outlineLevel="0" collapsed="false">
      <c r="A10" s="16" t="s">
        <v>52</v>
      </c>
      <c r="B10" s="17" t="s">
        <v>53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2026-03-16T11:13:53Z</dcterms:created>
  <dc:creator>openpyxl</dc:creator>
  <dc:description/>
  <dc:language>en-US</dc:language>
  <cp:lastModifiedBy/>
  <dcterms:modified xsi:type="dcterms:W3CDTF">2026-03-16T11:13:53Z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