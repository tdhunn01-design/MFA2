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8_{E04E8190-7775-524C-BD70-854FF3CD0A65}" xr6:coauthVersionLast="47" xr6:coauthVersionMax="47" xr10:uidLastSave="{00000000-0000-0000-0000-000000000000}"/>
  <bookViews>
    <workbookView xWindow="0" yWindow="0" windowWidth="28800" windowHeight="18000" xr2:uid="{AA804427-8AFE-1E43-841D-3891261ED7E8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C10" i="1"/>
  <c r="C11" i="1"/>
  <c r="C12" i="1"/>
  <c r="C13" i="1"/>
  <c r="C14" i="1"/>
  <c r="C15" i="1"/>
  <c r="C16" i="1"/>
  <c r="C9" i="1"/>
  <c r="D8" i="1"/>
  <c r="D7" i="1"/>
</calcChain>
</file>

<file path=xl/sharedStrings.xml><?xml version="1.0" encoding="utf-8"?>
<sst xmlns="http://schemas.openxmlformats.org/spreadsheetml/2006/main" count="16" uniqueCount="16">
  <si>
    <t>https://www.ine.es/en/prensa/np775_en.pdf</t>
  </si>
  <si>
    <t xml:space="preserve">        2020</t>
  </si>
  <si>
    <t xml:space="preserve">        2019</t>
  </si>
  <si>
    <t xml:space="preserve">        2018</t>
  </si>
  <si>
    <t xml:space="preserve">        2017</t>
  </si>
  <si>
    <t xml:space="preserve">        2016</t>
  </si>
  <si>
    <t xml:space="preserve">        2015</t>
  </si>
  <si>
    <t xml:space="preserve">        2014</t>
  </si>
  <si>
    <t xml:space="preserve">        2013</t>
  </si>
  <si>
    <t>year</t>
  </si>
  <si>
    <t>main dwelling</t>
  </si>
  <si>
    <t>total dwellings</t>
  </si>
  <si>
    <t>source</t>
  </si>
  <si>
    <t>main/total</t>
  </si>
  <si>
    <t>https://www.ine.es/jaxi/tabla.do?path=/t20/p274/serie/prov/p07/l1/&amp;file=01001.px&amp;type=pcaxis&amp;L=1</t>
  </si>
  <si>
    <t>file:///Users/marita/Downloads/SecondHomesGeography.pdf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</si>
</sst>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2" tint="-9.9978637043366805E-2"/>
      <name val="Aptos Narrow"/>
      <scheme val="minor"/>
    </font>
    <font>
      <sz val="12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6">
    <dxf>
      <font>
        <b val="0"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36570-FA05-FC44-B50C-A45FB94464AA}" name="Tabell1" displayName="Tabell1" ref="A1:D19" totalsRowShown="0" headerRowDxfId="1" dataDxfId="0">
  <autoFilter ref="A1:D19" xr:uid="{B0236570-FA05-FC44-B50C-A45FB94464AA}"/>
  <sortState xmlns:xlrd2="http://schemas.microsoft.com/office/spreadsheetml/2017/richdata2" ref="A2:D19">
    <sortCondition ref="A1:A19"/>
  </sortState>
  <tableColumns count="4">
    <tableColumn id="1" xr3:uid="{4C4DD68E-A4B6-9145-A36F-79927E24C0BA}" name="year" dataDxfId="5"/>
    <tableColumn id="2" xr3:uid="{D4166337-8B95-6C4D-B12F-B53E147FC0FD}" name="main dwelling" dataDxfId="4"/>
    <tableColumn id="3" xr3:uid="{93B32C7F-240A-4140-8FE3-DD0CCBFEE147}" name="total dwellings" dataDxfId="3"/>
    <tableColumn id="4" xr3:uid="{606EAADB-0F53-2149-A666-8F16595EDC3F}" name="main/total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B4FE-AD82-4F4F-9D64-F194881F3BC3}">
  <dimension ref="A1:E19"/>
  <sheetViews>
    <sheetView tabSelected="1" zoomScale="111" workbookViewId="0">
      <selection activeCell="B17" sqref="B17"/>
    </sheetView>
  </sheetViews>
  <sheetFormatPr baseColWidth="10" defaultRowHeight="16" x14ac:dyDescent="0.2"/>
  <cols>
    <col min="2" max="2" width="14.83203125" customWidth="1"/>
    <col min="3" max="3" width="19.6640625" customWidth="1"/>
    <col min="4" max="4" width="15.1640625" customWidth="1"/>
  </cols>
  <sheetData>
    <row r="1" spans="1:5" x14ac:dyDescent="0.2">
      <c r="A1" s="1" t="s">
        <v>9</v>
      </c>
      <c r="B1" s="1" t="s">
        <v>10</v>
      </c>
      <c r="C1" s="1" t="s">
        <v>11</v>
      </c>
      <c r="D1" s="1" t="s">
        <v>13</v>
      </c>
      <c r="E1" t="s">
        <v>12</v>
      </c>
    </row>
    <row r="2" spans="1:5" x14ac:dyDescent="0.2">
      <c r="A2" s="1">
        <v>1950</v>
      </c>
      <c r="B2" s="4">
        <f>Tabell1[[#This Row],[total dwellings]]-181250</f>
        <v>6224288</v>
      </c>
      <c r="C2" s="1">
        <v>6405538</v>
      </c>
      <c r="D2" s="1"/>
      <c r="E2" t="s">
        <v>0</v>
      </c>
    </row>
    <row r="3" spans="1:5" x14ac:dyDescent="0.2">
      <c r="A3" s="1">
        <v>1960</v>
      </c>
      <c r="B3" s="4">
        <f>Tabell1[[#This Row],[total dwellings]]-380387</f>
        <v>7346037</v>
      </c>
      <c r="C3" s="1">
        <v>7726424</v>
      </c>
      <c r="D3" s="1"/>
      <c r="E3" t="s">
        <v>14</v>
      </c>
    </row>
    <row r="4" spans="1:5" x14ac:dyDescent="0.2">
      <c r="A4" s="1">
        <v>1970</v>
      </c>
      <c r="B4" s="4">
        <f>Tabell1[[#This Row],[total dwellings]]-795745</f>
        <v>9913879</v>
      </c>
      <c r="C4" s="1">
        <v>10709624</v>
      </c>
      <c r="D4" s="1"/>
      <c r="E4" t="s">
        <v>15</v>
      </c>
    </row>
    <row r="5" spans="1:5" x14ac:dyDescent="0.2">
      <c r="A5" s="1">
        <v>1981</v>
      </c>
      <c r="B5" s="4">
        <f>Tabell1[[#This Row],[total dwellings]]-1898602</f>
        <v>12827532</v>
      </c>
      <c r="C5" s="1">
        <v>14726134</v>
      </c>
      <c r="D5" s="1"/>
    </row>
    <row r="6" spans="1:5" x14ac:dyDescent="0.2">
      <c r="A6" s="1">
        <v>1991</v>
      </c>
      <c r="B6" s="4">
        <f>Tabell1[[#This Row],[total dwellings]]-2628504</f>
        <v>14498010</v>
      </c>
      <c r="C6" s="1">
        <v>17126514</v>
      </c>
      <c r="D6" s="1"/>
    </row>
    <row r="7" spans="1:5" x14ac:dyDescent="0.2">
      <c r="A7" s="1">
        <v>2001</v>
      </c>
      <c r="B7" s="4">
        <v>14187169</v>
      </c>
      <c r="C7" s="1">
        <v>20946554</v>
      </c>
      <c r="D7" s="1">
        <f>B7/C7</f>
        <v>0.67730324520205087</v>
      </c>
    </row>
    <row r="8" spans="1:5" x14ac:dyDescent="0.2">
      <c r="A8" s="1">
        <v>2011</v>
      </c>
      <c r="B8" s="4">
        <v>18083692</v>
      </c>
      <c r="C8" s="1">
        <v>25208623</v>
      </c>
      <c r="D8" s="1">
        <f>B8/C8</f>
        <v>0.71736135686586289</v>
      </c>
    </row>
    <row r="9" spans="1:5" x14ac:dyDescent="0.2">
      <c r="A9" s="2" t="s">
        <v>8</v>
      </c>
      <c r="B9" s="5">
        <v>18217300</v>
      </c>
      <c r="C9" s="3">
        <f>B9/0.7</f>
        <v>26024714.285714287</v>
      </c>
      <c r="D9" s="1">
        <v>0.7</v>
      </c>
    </row>
    <row r="10" spans="1:5" x14ac:dyDescent="0.2">
      <c r="A10" s="2" t="s">
        <v>7</v>
      </c>
      <c r="B10" s="5">
        <v>18303100</v>
      </c>
      <c r="C10" s="3">
        <f>B10/0.7</f>
        <v>26147285.714285716</v>
      </c>
      <c r="D10" s="1">
        <v>0.7</v>
      </c>
    </row>
    <row r="11" spans="1:5" x14ac:dyDescent="0.2">
      <c r="A11" s="2" t="s">
        <v>6</v>
      </c>
      <c r="B11" s="5">
        <v>18346200</v>
      </c>
      <c r="C11" s="3">
        <f>B11/0.7</f>
        <v>26208857.142857146</v>
      </c>
      <c r="D11" s="1">
        <v>0.7</v>
      </c>
    </row>
    <row r="12" spans="1:5" x14ac:dyDescent="0.2">
      <c r="A12" s="2" t="s">
        <v>5</v>
      </c>
      <c r="B12" s="5">
        <v>18406100</v>
      </c>
      <c r="C12" s="3">
        <f>B12/0.7</f>
        <v>26294428.571428575</v>
      </c>
      <c r="D12" s="1">
        <v>0.7</v>
      </c>
    </row>
    <row r="13" spans="1:5" x14ac:dyDescent="0.2">
      <c r="A13" s="2" t="s">
        <v>4</v>
      </c>
      <c r="B13" s="5">
        <v>18472800</v>
      </c>
      <c r="C13" s="3">
        <f>B13/0.7</f>
        <v>26389714.285714287</v>
      </c>
      <c r="D13" s="1">
        <v>0.7</v>
      </c>
    </row>
    <row r="14" spans="1:5" x14ac:dyDescent="0.2">
      <c r="A14" s="2" t="s">
        <v>3</v>
      </c>
      <c r="B14" s="5">
        <v>18535900</v>
      </c>
      <c r="C14" s="3">
        <f>B14/0.7</f>
        <v>26479857.142857146</v>
      </c>
      <c r="D14" s="1">
        <v>0.7</v>
      </c>
    </row>
    <row r="15" spans="1:5" x14ac:dyDescent="0.2">
      <c r="A15" s="2" t="s">
        <v>2</v>
      </c>
      <c r="B15" s="5">
        <v>18625700</v>
      </c>
      <c r="C15" s="3">
        <f>B15/0.7</f>
        <v>26608142.857142858</v>
      </c>
      <c r="D15" s="1">
        <v>0.7</v>
      </c>
    </row>
    <row r="16" spans="1:5" x14ac:dyDescent="0.2">
      <c r="A16" s="2" t="s">
        <v>1</v>
      </c>
      <c r="B16" s="5">
        <v>18754800</v>
      </c>
      <c r="C16" s="3">
        <f>B16/0.7</f>
        <v>26792571.428571429</v>
      </c>
      <c r="D16" s="1">
        <v>0.7</v>
      </c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Marita Leirdal</cp:lastModifiedBy>
  <dcterms:created xsi:type="dcterms:W3CDTF">2026-02-26T09:47:42Z</dcterms:created>
  <dcterms:modified xsi:type="dcterms:W3CDTF">2026-02-26T10:58:07Z</dcterms:modified>
</cp:coreProperties>
</file>