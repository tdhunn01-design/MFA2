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ta/Documents/GitHub/MFA2/"/>
    </mc:Choice>
  </mc:AlternateContent>
  <xr:revisionPtr revIDLastSave="0" documentId="8_{9093ABAF-7D99-DE48-A3BD-1C12EBE09FE8}" xr6:coauthVersionLast="47" xr6:coauthVersionMax="47" xr10:uidLastSave="{00000000-0000-0000-0000-000000000000}"/>
  <bookViews>
    <workbookView xWindow="0" yWindow="0" windowWidth="28800" windowHeight="18000" xr2:uid="{69FAC69C-FC93-984C-ADE6-B504FB768A0A}"/>
  </bookViews>
  <sheets>
    <sheet name="Ark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N5" i="1" s="1"/>
  <c r="E3" i="1" s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M6" i="1"/>
  <c r="N6" i="1" s="1"/>
  <c r="F3" i="1" s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M7" i="1"/>
  <c r="N7" i="1" s="1"/>
  <c r="G3" i="1" s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M8" i="1"/>
  <c r="N8" i="1" s="1"/>
  <c r="H3" i="1" s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M9" i="1"/>
  <c r="M2" i="1"/>
  <c r="N2" i="1" s="1"/>
  <c r="N9" i="1"/>
  <c r="I3" i="1" s="1"/>
  <c r="I4" i="1" s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N4" i="1"/>
  <c r="D3" i="1" s="1"/>
  <c r="D4" i="1" s="1"/>
  <c r="N3" i="1"/>
  <c r="C3" i="1" s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D5" i="1" l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</calcChain>
</file>

<file path=xl/sharedStrings.xml><?xml version="1.0" encoding="utf-8"?>
<sst xmlns="http://schemas.openxmlformats.org/spreadsheetml/2006/main" count="20" uniqueCount="12">
  <si>
    <t>year</t>
  </si>
  <si>
    <t>copper</t>
  </si>
  <si>
    <t xml:space="preserve">aluminium </t>
  </si>
  <si>
    <t>plastics</t>
  </si>
  <si>
    <t xml:space="preserve"> glass</t>
  </si>
  <si>
    <t>steel</t>
  </si>
  <si>
    <t>wood</t>
  </si>
  <si>
    <t xml:space="preserve"> brick</t>
  </si>
  <si>
    <t>concrete</t>
  </si>
  <si>
    <t>yearly reduction</t>
  </si>
  <si>
    <t>total reduction</t>
  </si>
  <si>
    <t>yearly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</si>
</sst>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0.0000"/>
    <numFmt numFmtId="171" formatCode="0.00000"/>
  </numFmts>
  <fonts count="5" x14ac:knownFonts="1">
    <font>
      <sz val="12"/>
      <color theme="1"/>
      <name val="Aptos Narrow"/>
      <family val="2"/>
      <scheme val="minor"/>
    </font>
    <font>
      <sz val="12"/>
      <color rgb="FFFF38A2"/>
      <name val="Menlo"/>
      <family val="2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10" fontId="0" fillId="0" borderId="0" xfId="0" applyNumberFormat="1"/>
    <xf numFmtId="0" fontId="2" fillId="0" borderId="0" xfId="0" applyFont="1"/>
    <xf numFmtId="10" fontId="3" fillId="0" borderId="0" xfId="0" applyNumberFormat="1" applyFont="1"/>
    <xf numFmtId="171" fontId="0" fillId="0" borderId="0" xfId="0" applyNumberFormat="1"/>
    <xf numFmtId="0" fontId="2" fillId="0" borderId="0" xfId="0" quotePrefix="1" applyFont="1"/>
    <xf numFmtId="0" fontId="2" fillId="0" borderId="0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5" xfId="0" quotePrefix="1" applyFont="1" applyBorder="1"/>
    <xf numFmtId="0" fontId="4" fillId="0" borderId="6" xfId="0" applyFont="1" applyBorder="1"/>
    <xf numFmtId="0" fontId="2" fillId="0" borderId="7" xfId="0" applyFont="1" applyBorder="1"/>
    <xf numFmtId="170" fontId="2" fillId="0" borderId="0" xfId="0" applyNumberFormat="1" applyFont="1" applyBorder="1"/>
    <xf numFmtId="170" fontId="2" fillId="0" borderId="2" xfId="0" applyNumberFormat="1" applyFont="1" applyBorder="1"/>
    <xf numFmtId="170" fontId="0" fillId="0" borderId="0" xfId="0" applyNumberFormat="1" applyBorder="1"/>
    <xf numFmtId="170" fontId="0" fillId="0" borderId="2" xfId="0" applyNumberFormat="1" applyBorder="1"/>
    <xf numFmtId="0" fontId="2" fillId="0" borderId="8" xfId="0" applyFont="1" applyBorder="1"/>
    <xf numFmtId="170" fontId="0" fillId="0" borderId="1" xfId="0" applyNumberFormat="1" applyBorder="1"/>
    <xf numFmtId="170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17F94-8D98-C541-A99C-5F324B5B0E2F}">
  <dimension ref="A1:N77"/>
  <sheetViews>
    <sheetView tabSelected="1" zoomScale="85" workbookViewId="0">
      <selection activeCell="L17" sqref="L17"/>
    </sheetView>
  </sheetViews>
  <sheetFormatPr baseColWidth="10" defaultRowHeight="16" x14ac:dyDescent="0.2"/>
  <cols>
    <col min="1" max="1" width="12.83203125" style="7" customWidth="1"/>
    <col min="2" max="9" width="12.83203125" customWidth="1"/>
    <col min="12" max="12" width="14.5" customWidth="1"/>
    <col min="13" max="13" width="15" customWidth="1"/>
    <col min="14" max="14" width="13" customWidth="1"/>
  </cols>
  <sheetData>
    <row r="1" spans="1:14" ht="19" x14ac:dyDescent="0.25">
      <c r="A1" s="8" t="s">
        <v>0</v>
      </c>
      <c r="B1" s="9" t="s">
        <v>8</v>
      </c>
      <c r="C1" s="9" t="s">
        <v>7</v>
      </c>
      <c r="D1" s="10" t="s">
        <v>6</v>
      </c>
      <c r="E1" s="10" t="s">
        <v>5</v>
      </c>
      <c r="F1" s="9" t="s">
        <v>4</v>
      </c>
      <c r="G1" s="10" t="s">
        <v>3</v>
      </c>
      <c r="H1" s="10" t="s">
        <v>2</v>
      </c>
      <c r="I1" s="11" t="s">
        <v>1</v>
      </c>
      <c r="L1" s="3" t="s">
        <v>10</v>
      </c>
      <c r="M1" s="3" t="s">
        <v>9</v>
      </c>
      <c r="N1" s="3" t="s">
        <v>11</v>
      </c>
    </row>
    <row r="2" spans="1:14" x14ac:dyDescent="0.2">
      <c r="A2" s="12">
        <v>2025</v>
      </c>
      <c r="B2" s="13">
        <v>867.16</v>
      </c>
      <c r="C2" s="13">
        <v>181.39</v>
      </c>
      <c r="D2" s="13">
        <v>20.28</v>
      </c>
      <c r="E2" s="13">
        <v>32.450000000000003</v>
      </c>
      <c r="F2" s="13">
        <v>2.1</v>
      </c>
      <c r="G2" s="13">
        <v>1.32</v>
      </c>
      <c r="H2" s="13">
        <v>0.49</v>
      </c>
      <c r="I2" s="14">
        <v>0.18</v>
      </c>
      <c r="K2" s="3" t="s">
        <v>8</v>
      </c>
      <c r="L2" s="4">
        <v>0.95</v>
      </c>
      <c r="M2" s="2">
        <f>L2/75</f>
        <v>1.2666666666666666E-2</v>
      </c>
      <c r="N2" s="5">
        <f>B2*M2</f>
        <v>10.984026666666667</v>
      </c>
    </row>
    <row r="3" spans="1:14" x14ac:dyDescent="0.2">
      <c r="A3" s="12">
        <v>2026</v>
      </c>
      <c r="B3" s="15">
        <f>B2-$N$2</f>
        <v>856.17597333333333</v>
      </c>
      <c r="C3" s="15">
        <f>C2-$N$3</f>
        <v>180.66443999999998</v>
      </c>
      <c r="D3" s="15">
        <f>D2-$N$4</f>
        <v>20.090720000000001</v>
      </c>
      <c r="E3" s="15">
        <f>E2-$N$5</f>
        <v>32.125500000000002</v>
      </c>
      <c r="F3" s="15">
        <f>F2-$N$6</f>
        <v>2.0916000000000001</v>
      </c>
      <c r="G3" s="15">
        <f>G2-$N$7</f>
        <v>1.3147200000000001</v>
      </c>
      <c r="H3" s="15">
        <f>H2-$N$8</f>
        <v>0.48803999999999997</v>
      </c>
      <c r="I3" s="16">
        <f>I2-$N$9</f>
        <v>0.17927999999999999</v>
      </c>
      <c r="K3" s="3" t="s">
        <v>7</v>
      </c>
      <c r="L3" s="4">
        <v>0.3</v>
      </c>
      <c r="M3" s="2">
        <f t="shared" ref="M3:M9" si="0">L3/75</f>
        <v>4.0000000000000001E-3</v>
      </c>
      <c r="N3" s="5">
        <f>C2*M3</f>
        <v>0.72555999999999998</v>
      </c>
    </row>
    <row r="4" spans="1:14" x14ac:dyDescent="0.2">
      <c r="A4" s="12">
        <v>2027</v>
      </c>
      <c r="B4" s="15">
        <f t="shared" ref="B4:B67" si="1">B3-$N$2</f>
        <v>845.19194666666669</v>
      </c>
      <c r="C4" s="15">
        <f t="shared" ref="C4:C67" si="2">C3-$N$3</f>
        <v>179.93887999999998</v>
      </c>
      <c r="D4" s="15">
        <f t="shared" ref="D4:D67" si="3">D3-$N$4</f>
        <v>19.901440000000001</v>
      </c>
      <c r="E4" s="15">
        <f t="shared" ref="E4:E67" si="4">E3-$N$5</f>
        <v>31.801000000000002</v>
      </c>
      <c r="F4" s="15">
        <f t="shared" ref="F4:F67" si="5">F3-$N$6</f>
        <v>2.0832000000000002</v>
      </c>
      <c r="G4" s="15">
        <f t="shared" ref="G4:G67" si="6">G3-$N$7</f>
        <v>1.3094400000000002</v>
      </c>
      <c r="H4" s="15">
        <f t="shared" ref="H4:H67" si="7">H3-$N$8</f>
        <v>0.48607999999999996</v>
      </c>
      <c r="I4" s="16">
        <f t="shared" ref="I4:I67" si="8">I3-$N$9</f>
        <v>0.17856</v>
      </c>
      <c r="K4" s="6" t="s">
        <v>6</v>
      </c>
      <c r="L4" s="4">
        <v>0.7</v>
      </c>
      <c r="M4" s="2">
        <f t="shared" si="0"/>
        <v>9.3333333333333324E-3</v>
      </c>
      <c r="N4" s="5">
        <f>D2*M4</f>
        <v>0.18928</v>
      </c>
    </row>
    <row r="5" spans="1:14" x14ac:dyDescent="0.2">
      <c r="A5" s="12">
        <v>2028</v>
      </c>
      <c r="B5" s="15">
        <f t="shared" si="1"/>
        <v>834.20792000000006</v>
      </c>
      <c r="C5" s="15">
        <f t="shared" si="2"/>
        <v>179.21331999999998</v>
      </c>
      <c r="D5" s="15">
        <f t="shared" si="3"/>
        <v>19.712160000000001</v>
      </c>
      <c r="E5" s="15">
        <f t="shared" si="4"/>
        <v>31.476500000000001</v>
      </c>
      <c r="F5" s="15">
        <f t="shared" si="5"/>
        <v>2.0748000000000002</v>
      </c>
      <c r="G5" s="15">
        <f t="shared" si="6"/>
        <v>1.3041600000000002</v>
      </c>
      <c r="H5" s="15">
        <f t="shared" si="7"/>
        <v>0.48411999999999994</v>
      </c>
      <c r="I5" s="16">
        <f t="shared" si="8"/>
        <v>0.17784</v>
      </c>
      <c r="K5" s="6" t="s">
        <v>5</v>
      </c>
      <c r="L5" s="4">
        <v>0.75</v>
      </c>
      <c r="M5" s="2">
        <f t="shared" si="0"/>
        <v>0.01</v>
      </c>
      <c r="N5" s="5">
        <f>E2*M5</f>
        <v>0.32450000000000001</v>
      </c>
    </row>
    <row r="6" spans="1:14" x14ac:dyDescent="0.2">
      <c r="A6" s="12">
        <v>2029</v>
      </c>
      <c r="B6" s="15">
        <f t="shared" si="1"/>
        <v>823.22389333333342</v>
      </c>
      <c r="C6" s="15">
        <f t="shared" si="2"/>
        <v>178.48775999999998</v>
      </c>
      <c r="D6" s="15">
        <f t="shared" si="3"/>
        <v>19.522880000000001</v>
      </c>
      <c r="E6" s="15">
        <f t="shared" si="4"/>
        <v>31.152000000000001</v>
      </c>
      <c r="F6" s="15">
        <f t="shared" si="5"/>
        <v>2.0664000000000002</v>
      </c>
      <c r="G6" s="15">
        <f t="shared" si="6"/>
        <v>1.2988800000000003</v>
      </c>
      <c r="H6" s="15">
        <f t="shared" si="7"/>
        <v>0.48215999999999992</v>
      </c>
      <c r="I6" s="16">
        <f t="shared" si="8"/>
        <v>0.17712</v>
      </c>
      <c r="K6" s="3" t="s">
        <v>4</v>
      </c>
      <c r="L6" s="4">
        <v>0.3</v>
      </c>
      <c r="M6" s="2">
        <f t="shared" si="0"/>
        <v>4.0000000000000001E-3</v>
      </c>
      <c r="N6" s="5">
        <f>F2*M6</f>
        <v>8.4000000000000012E-3</v>
      </c>
    </row>
    <row r="7" spans="1:14" x14ac:dyDescent="0.2">
      <c r="A7" s="12">
        <v>2030</v>
      </c>
      <c r="B7" s="15">
        <f t="shared" si="1"/>
        <v>812.23986666666679</v>
      </c>
      <c r="C7" s="15">
        <f t="shared" si="2"/>
        <v>177.76219999999998</v>
      </c>
      <c r="D7" s="15">
        <f t="shared" si="3"/>
        <v>19.333600000000001</v>
      </c>
      <c r="E7" s="15">
        <f t="shared" si="4"/>
        <v>30.827500000000001</v>
      </c>
      <c r="F7" s="15">
        <f t="shared" si="5"/>
        <v>2.0580000000000003</v>
      </c>
      <c r="G7" s="15">
        <f t="shared" si="6"/>
        <v>1.2936000000000003</v>
      </c>
      <c r="H7" s="15">
        <f t="shared" si="7"/>
        <v>0.4801999999999999</v>
      </c>
      <c r="I7" s="16">
        <f t="shared" si="8"/>
        <v>0.1764</v>
      </c>
      <c r="K7" s="6" t="s">
        <v>3</v>
      </c>
      <c r="L7" s="4">
        <v>0.3</v>
      </c>
      <c r="M7" s="2">
        <f t="shared" si="0"/>
        <v>4.0000000000000001E-3</v>
      </c>
      <c r="N7" s="5">
        <f>G2*M7</f>
        <v>5.28E-3</v>
      </c>
    </row>
    <row r="8" spans="1:14" x14ac:dyDescent="0.2">
      <c r="A8" s="12">
        <v>2031</v>
      </c>
      <c r="B8" s="15">
        <f t="shared" si="1"/>
        <v>801.25584000000015</v>
      </c>
      <c r="C8" s="15">
        <f t="shared" si="2"/>
        <v>177.03663999999998</v>
      </c>
      <c r="D8" s="15">
        <f t="shared" si="3"/>
        <v>19.14432</v>
      </c>
      <c r="E8" s="15">
        <f t="shared" si="4"/>
        <v>30.503</v>
      </c>
      <c r="F8" s="15">
        <f t="shared" si="5"/>
        <v>2.0496000000000003</v>
      </c>
      <c r="G8" s="15">
        <f t="shared" si="6"/>
        <v>1.2883200000000004</v>
      </c>
      <c r="H8" s="15">
        <f t="shared" si="7"/>
        <v>0.47823999999999989</v>
      </c>
      <c r="I8" s="16">
        <f t="shared" si="8"/>
        <v>0.17568</v>
      </c>
      <c r="K8" s="6" t="s">
        <v>2</v>
      </c>
      <c r="L8" s="4">
        <v>0.3</v>
      </c>
      <c r="M8" s="2">
        <f t="shared" si="0"/>
        <v>4.0000000000000001E-3</v>
      </c>
      <c r="N8" s="5">
        <f>H2*M8</f>
        <v>1.9599999999999999E-3</v>
      </c>
    </row>
    <row r="9" spans="1:14" x14ac:dyDescent="0.2">
      <c r="A9" s="12">
        <v>2032</v>
      </c>
      <c r="B9" s="15">
        <f t="shared" si="1"/>
        <v>790.27181333333351</v>
      </c>
      <c r="C9" s="15">
        <f t="shared" si="2"/>
        <v>176.31107999999998</v>
      </c>
      <c r="D9" s="15">
        <f t="shared" si="3"/>
        <v>18.95504</v>
      </c>
      <c r="E9" s="15">
        <f t="shared" si="4"/>
        <v>30.1785</v>
      </c>
      <c r="F9" s="15">
        <f t="shared" si="5"/>
        <v>2.0412000000000003</v>
      </c>
      <c r="G9" s="15">
        <f t="shared" si="6"/>
        <v>1.2830400000000004</v>
      </c>
      <c r="H9" s="15">
        <f t="shared" si="7"/>
        <v>0.47627999999999987</v>
      </c>
      <c r="I9" s="16">
        <f t="shared" si="8"/>
        <v>0.17496</v>
      </c>
      <c r="K9" s="3" t="s">
        <v>1</v>
      </c>
      <c r="L9" s="4">
        <v>0.3</v>
      </c>
      <c r="M9" s="2">
        <f t="shared" si="0"/>
        <v>4.0000000000000001E-3</v>
      </c>
      <c r="N9" s="5">
        <f>I2*M9</f>
        <v>7.1999999999999994E-4</v>
      </c>
    </row>
    <row r="10" spans="1:14" x14ac:dyDescent="0.2">
      <c r="A10" s="12">
        <v>2033</v>
      </c>
      <c r="B10" s="15">
        <f t="shared" si="1"/>
        <v>779.28778666666688</v>
      </c>
      <c r="C10" s="15">
        <f t="shared" si="2"/>
        <v>175.58551999999997</v>
      </c>
      <c r="D10" s="15">
        <f t="shared" si="3"/>
        <v>18.76576</v>
      </c>
      <c r="E10" s="15">
        <f t="shared" si="4"/>
        <v>29.853999999999999</v>
      </c>
      <c r="F10" s="15">
        <f t="shared" si="5"/>
        <v>2.0328000000000004</v>
      </c>
      <c r="G10" s="15">
        <f t="shared" si="6"/>
        <v>1.2777600000000005</v>
      </c>
      <c r="H10" s="15">
        <f t="shared" si="7"/>
        <v>0.47431999999999985</v>
      </c>
      <c r="I10" s="16">
        <f t="shared" si="8"/>
        <v>0.17424000000000001</v>
      </c>
    </row>
    <row r="11" spans="1:14" x14ac:dyDescent="0.2">
      <c r="A11" s="12">
        <v>2034</v>
      </c>
      <c r="B11" s="15">
        <f t="shared" si="1"/>
        <v>768.30376000000024</v>
      </c>
      <c r="C11" s="15">
        <f t="shared" si="2"/>
        <v>174.85995999999997</v>
      </c>
      <c r="D11" s="15">
        <f t="shared" si="3"/>
        <v>18.57648</v>
      </c>
      <c r="E11" s="15">
        <f t="shared" si="4"/>
        <v>29.529499999999999</v>
      </c>
      <c r="F11" s="15">
        <f t="shared" si="5"/>
        <v>2.0244000000000004</v>
      </c>
      <c r="G11" s="15">
        <f t="shared" si="6"/>
        <v>1.2724800000000005</v>
      </c>
      <c r="H11" s="15">
        <f t="shared" si="7"/>
        <v>0.47235999999999984</v>
      </c>
      <c r="I11" s="16">
        <f t="shared" si="8"/>
        <v>0.17352000000000001</v>
      </c>
    </row>
    <row r="12" spans="1:14" x14ac:dyDescent="0.2">
      <c r="A12" s="12">
        <v>2035</v>
      </c>
      <c r="B12" s="15">
        <f t="shared" si="1"/>
        <v>757.3197333333336</v>
      </c>
      <c r="C12" s="15">
        <f t="shared" si="2"/>
        <v>174.13439999999997</v>
      </c>
      <c r="D12" s="15">
        <f t="shared" si="3"/>
        <v>18.3872</v>
      </c>
      <c r="E12" s="15">
        <f t="shared" si="4"/>
        <v>29.204999999999998</v>
      </c>
      <c r="F12" s="15">
        <f t="shared" si="5"/>
        <v>2.0160000000000005</v>
      </c>
      <c r="G12" s="15">
        <f t="shared" si="6"/>
        <v>1.2672000000000005</v>
      </c>
      <c r="H12" s="15">
        <f t="shared" si="7"/>
        <v>0.47039999999999982</v>
      </c>
      <c r="I12" s="16">
        <f t="shared" si="8"/>
        <v>0.17280000000000001</v>
      </c>
    </row>
    <row r="13" spans="1:14" x14ac:dyDescent="0.2">
      <c r="A13" s="12">
        <v>2036</v>
      </c>
      <c r="B13" s="15">
        <f t="shared" si="1"/>
        <v>746.33570666666697</v>
      </c>
      <c r="C13" s="15">
        <f t="shared" si="2"/>
        <v>173.40883999999997</v>
      </c>
      <c r="D13" s="15">
        <f t="shared" si="3"/>
        <v>18.19792</v>
      </c>
      <c r="E13" s="15">
        <f t="shared" si="4"/>
        <v>28.880499999999998</v>
      </c>
      <c r="F13" s="15">
        <f t="shared" si="5"/>
        <v>2.0076000000000005</v>
      </c>
      <c r="G13" s="15">
        <f t="shared" si="6"/>
        <v>1.2619200000000006</v>
      </c>
      <c r="H13" s="15">
        <f t="shared" si="7"/>
        <v>0.4684399999999998</v>
      </c>
      <c r="I13" s="16">
        <f t="shared" si="8"/>
        <v>0.17208000000000001</v>
      </c>
    </row>
    <row r="14" spans="1:14" x14ac:dyDescent="0.2">
      <c r="A14" s="12">
        <v>2037</v>
      </c>
      <c r="B14" s="15">
        <f t="shared" si="1"/>
        <v>735.35168000000033</v>
      </c>
      <c r="C14" s="15">
        <f t="shared" si="2"/>
        <v>172.68327999999997</v>
      </c>
      <c r="D14" s="15">
        <f t="shared" si="3"/>
        <v>18.00864</v>
      </c>
      <c r="E14" s="15">
        <f t="shared" si="4"/>
        <v>28.555999999999997</v>
      </c>
      <c r="F14" s="15">
        <f t="shared" si="5"/>
        <v>1.9992000000000005</v>
      </c>
      <c r="G14" s="15">
        <f t="shared" si="6"/>
        <v>1.2566400000000006</v>
      </c>
      <c r="H14" s="15">
        <f t="shared" si="7"/>
        <v>0.46647999999999978</v>
      </c>
      <c r="I14" s="16">
        <f t="shared" si="8"/>
        <v>0.17136000000000001</v>
      </c>
    </row>
    <row r="15" spans="1:14" x14ac:dyDescent="0.2">
      <c r="A15" s="12">
        <v>2038</v>
      </c>
      <c r="B15" s="15">
        <f t="shared" si="1"/>
        <v>724.36765333333369</v>
      </c>
      <c r="C15" s="15">
        <f t="shared" si="2"/>
        <v>171.95771999999997</v>
      </c>
      <c r="D15" s="15">
        <f t="shared" si="3"/>
        <v>17.81936</v>
      </c>
      <c r="E15" s="15">
        <f t="shared" si="4"/>
        <v>28.231499999999997</v>
      </c>
      <c r="F15" s="15">
        <f t="shared" si="5"/>
        <v>1.9908000000000006</v>
      </c>
      <c r="G15" s="15">
        <f t="shared" si="6"/>
        <v>1.2513600000000007</v>
      </c>
      <c r="H15" s="15">
        <f t="shared" si="7"/>
        <v>0.46451999999999977</v>
      </c>
      <c r="I15" s="16">
        <f t="shared" si="8"/>
        <v>0.17064000000000001</v>
      </c>
    </row>
    <row r="16" spans="1:14" x14ac:dyDescent="0.2">
      <c r="A16" s="12">
        <v>2039</v>
      </c>
      <c r="B16" s="15">
        <f t="shared" si="1"/>
        <v>713.38362666666706</v>
      </c>
      <c r="C16" s="15">
        <f t="shared" si="2"/>
        <v>171.23215999999996</v>
      </c>
      <c r="D16" s="15">
        <f t="shared" si="3"/>
        <v>17.63008</v>
      </c>
      <c r="E16" s="15">
        <f t="shared" si="4"/>
        <v>27.906999999999996</v>
      </c>
      <c r="F16" s="15">
        <f t="shared" si="5"/>
        <v>1.9824000000000006</v>
      </c>
      <c r="G16" s="15">
        <f t="shared" si="6"/>
        <v>1.2460800000000007</v>
      </c>
      <c r="H16" s="15">
        <f t="shared" si="7"/>
        <v>0.46255999999999975</v>
      </c>
      <c r="I16" s="16">
        <f t="shared" si="8"/>
        <v>0.16992000000000002</v>
      </c>
    </row>
    <row r="17" spans="1:14" x14ac:dyDescent="0.2">
      <c r="A17" s="12">
        <v>2040</v>
      </c>
      <c r="B17" s="15">
        <f t="shared" si="1"/>
        <v>702.39960000000042</v>
      </c>
      <c r="C17" s="15">
        <f t="shared" si="2"/>
        <v>170.50659999999996</v>
      </c>
      <c r="D17" s="15">
        <f t="shared" si="3"/>
        <v>17.440799999999999</v>
      </c>
      <c r="E17" s="15">
        <f t="shared" si="4"/>
        <v>27.582499999999996</v>
      </c>
      <c r="F17" s="15">
        <f t="shared" si="5"/>
        <v>1.9740000000000006</v>
      </c>
      <c r="G17" s="15">
        <f t="shared" si="6"/>
        <v>1.2408000000000008</v>
      </c>
      <c r="H17" s="15">
        <f t="shared" si="7"/>
        <v>0.46059999999999973</v>
      </c>
      <c r="I17" s="16">
        <f t="shared" si="8"/>
        <v>0.16920000000000002</v>
      </c>
      <c r="L17" s="1"/>
    </row>
    <row r="18" spans="1:14" x14ac:dyDescent="0.2">
      <c r="A18" s="12">
        <v>2041</v>
      </c>
      <c r="B18" s="15">
        <f t="shared" si="1"/>
        <v>691.41557333333378</v>
      </c>
      <c r="C18" s="15">
        <f t="shared" si="2"/>
        <v>169.78103999999996</v>
      </c>
      <c r="D18" s="15">
        <f t="shared" si="3"/>
        <v>17.251519999999999</v>
      </c>
      <c r="E18" s="15">
        <f t="shared" si="4"/>
        <v>27.257999999999996</v>
      </c>
      <c r="F18" s="15">
        <f t="shared" si="5"/>
        <v>1.9656000000000007</v>
      </c>
      <c r="G18" s="15">
        <f t="shared" si="6"/>
        <v>1.2355200000000008</v>
      </c>
      <c r="H18" s="15">
        <f t="shared" si="7"/>
        <v>0.45863999999999971</v>
      </c>
      <c r="I18" s="16">
        <f t="shared" si="8"/>
        <v>0.16848000000000002</v>
      </c>
    </row>
    <row r="19" spans="1:14" x14ac:dyDescent="0.2">
      <c r="A19" s="12">
        <v>2042</v>
      </c>
      <c r="B19" s="15">
        <f t="shared" si="1"/>
        <v>680.43154666666715</v>
      </c>
      <c r="C19" s="15">
        <f t="shared" si="2"/>
        <v>169.05547999999996</v>
      </c>
      <c r="D19" s="15">
        <f t="shared" si="3"/>
        <v>17.062239999999999</v>
      </c>
      <c r="E19" s="15">
        <f t="shared" si="4"/>
        <v>26.933499999999995</v>
      </c>
      <c r="F19" s="15">
        <f t="shared" si="5"/>
        <v>1.9572000000000007</v>
      </c>
      <c r="G19" s="15">
        <f t="shared" si="6"/>
        <v>1.2302400000000009</v>
      </c>
      <c r="H19" s="15">
        <f t="shared" si="7"/>
        <v>0.4566799999999997</v>
      </c>
      <c r="I19" s="16">
        <f t="shared" si="8"/>
        <v>0.16776000000000002</v>
      </c>
      <c r="N19" s="1"/>
    </row>
    <row r="20" spans="1:14" x14ac:dyDescent="0.2">
      <c r="A20" s="12">
        <v>2043</v>
      </c>
      <c r="B20" s="15">
        <f t="shared" si="1"/>
        <v>669.44752000000051</v>
      </c>
      <c r="C20" s="15">
        <f t="shared" si="2"/>
        <v>168.32991999999996</v>
      </c>
      <c r="D20" s="15">
        <f t="shared" si="3"/>
        <v>16.872959999999999</v>
      </c>
      <c r="E20" s="15">
        <f t="shared" si="4"/>
        <v>26.608999999999995</v>
      </c>
      <c r="F20" s="15">
        <f t="shared" si="5"/>
        <v>1.9488000000000008</v>
      </c>
      <c r="G20" s="15">
        <f t="shared" si="6"/>
        <v>1.2249600000000009</v>
      </c>
      <c r="H20" s="15">
        <f t="shared" si="7"/>
        <v>0.45471999999999968</v>
      </c>
      <c r="I20" s="16">
        <f t="shared" si="8"/>
        <v>0.16704000000000002</v>
      </c>
    </row>
    <row r="21" spans="1:14" x14ac:dyDescent="0.2">
      <c r="A21" s="12">
        <v>2044</v>
      </c>
      <c r="B21" s="15">
        <f t="shared" si="1"/>
        <v>658.46349333333387</v>
      </c>
      <c r="C21" s="15">
        <f t="shared" si="2"/>
        <v>167.60435999999996</v>
      </c>
      <c r="D21" s="15">
        <f t="shared" si="3"/>
        <v>16.683679999999999</v>
      </c>
      <c r="E21" s="15">
        <f t="shared" si="4"/>
        <v>26.284499999999994</v>
      </c>
      <c r="F21" s="15">
        <f t="shared" si="5"/>
        <v>1.9404000000000008</v>
      </c>
      <c r="G21" s="15">
        <f t="shared" si="6"/>
        <v>1.219680000000001</v>
      </c>
      <c r="H21" s="15">
        <f t="shared" si="7"/>
        <v>0.45275999999999966</v>
      </c>
      <c r="I21" s="16">
        <f t="shared" si="8"/>
        <v>0.16632000000000002</v>
      </c>
    </row>
    <row r="22" spans="1:14" x14ac:dyDescent="0.2">
      <c r="A22" s="12">
        <v>2045</v>
      </c>
      <c r="B22" s="15">
        <f t="shared" si="1"/>
        <v>647.47946666666724</v>
      </c>
      <c r="C22" s="15">
        <f t="shared" si="2"/>
        <v>166.87879999999996</v>
      </c>
      <c r="D22" s="15">
        <f t="shared" si="3"/>
        <v>16.494399999999999</v>
      </c>
      <c r="E22" s="15">
        <f t="shared" si="4"/>
        <v>25.959999999999994</v>
      </c>
      <c r="F22" s="15">
        <f t="shared" si="5"/>
        <v>1.9320000000000008</v>
      </c>
      <c r="G22" s="15">
        <f t="shared" si="6"/>
        <v>1.214400000000001</v>
      </c>
      <c r="H22" s="15">
        <f t="shared" si="7"/>
        <v>0.45079999999999965</v>
      </c>
      <c r="I22" s="16">
        <f t="shared" si="8"/>
        <v>0.16560000000000002</v>
      </c>
    </row>
    <row r="23" spans="1:14" x14ac:dyDescent="0.2">
      <c r="A23" s="12">
        <v>2046</v>
      </c>
      <c r="B23" s="15">
        <f t="shared" si="1"/>
        <v>636.4954400000006</v>
      </c>
      <c r="C23" s="15">
        <f t="shared" si="2"/>
        <v>166.15323999999995</v>
      </c>
      <c r="D23" s="15">
        <f t="shared" si="3"/>
        <v>16.305119999999999</v>
      </c>
      <c r="E23" s="15">
        <f t="shared" si="4"/>
        <v>25.635499999999993</v>
      </c>
      <c r="F23" s="15">
        <f t="shared" si="5"/>
        <v>1.9236000000000009</v>
      </c>
      <c r="G23" s="15">
        <f t="shared" si="6"/>
        <v>1.2091200000000011</v>
      </c>
      <c r="H23" s="15">
        <f t="shared" si="7"/>
        <v>0.44883999999999963</v>
      </c>
      <c r="I23" s="16">
        <f t="shared" si="8"/>
        <v>0.16488000000000003</v>
      </c>
    </row>
    <row r="24" spans="1:14" x14ac:dyDescent="0.2">
      <c r="A24" s="12">
        <v>2047</v>
      </c>
      <c r="B24" s="15">
        <f t="shared" si="1"/>
        <v>625.51141333333396</v>
      </c>
      <c r="C24" s="15">
        <f t="shared" si="2"/>
        <v>165.42767999999995</v>
      </c>
      <c r="D24" s="15">
        <f t="shared" si="3"/>
        <v>16.115839999999999</v>
      </c>
      <c r="E24" s="15">
        <f t="shared" si="4"/>
        <v>25.310999999999993</v>
      </c>
      <c r="F24" s="15">
        <f t="shared" si="5"/>
        <v>1.9152000000000009</v>
      </c>
      <c r="G24" s="15">
        <f t="shared" si="6"/>
        <v>1.2038400000000011</v>
      </c>
      <c r="H24" s="15">
        <f t="shared" si="7"/>
        <v>0.44687999999999961</v>
      </c>
      <c r="I24" s="16">
        <f t="shared" si="8"/>
        <v>0.16416000000000003</v>
      </c>
    </row>
    <row r="25" spans="1:14" x14ac:dyDescent="0.2">
      <c r="A25" s="12">
        <v>2048</v>
      </c>
      <c r="B25" s="15">
        <f t="shared" si="1"/>
        <v>614.52738666666733</v>
      </c>
      <c r="C25" s="15">
        <f t="shared" si="2"/>
        <v>164.70211999999995</v>
      </c>
      <c r="D25" s="15">
        <f t="shared" si="3"/>
        <v>15.926559999999998</v>
      </c>
      <c r="E25" s="15">
        <f t="shared" si="4"/>
        <v>24.986499999999992</v>
      </c>
      <c r="F25" s="15">
        <f t="shared" si="5"/>
        <v>1.9068000000000009</v>
      </c>
      <c r="G25" s="15">
        <f t="shared" si="6"/>
        <v>1.1985600000000012</v>
      </c>
      <c r="H25" s="15">
        <f t="shared" si="7"/>
        <v>0.44491999999999959</v>
      </c>
      <c r="I25" s="16">
        <f t="shared" si="8"/>
        <v>0.16344000000000003</v>
      </c>
    </row>
    <row r="26" spans="1:14" x14ac:dyDescent="0.2">
      <c r="A26" s="12">
        <v>2049</v>
      </c>
      <c r="B26" s="15">
        <f t="shared" si="1"/>
        <v>603.54336000000069</v>
      </c>
      <c r="C26" s="15">
        <f t="shared" si="2"/>
        <v>163.97655999999995</v>
      </c>
      <c r="D26" s="15">
        <f t="shared" si="3"/>
        <v>15.737279999999998</v>
      </c>
      <c r="E26" s="15">
        <f t="shared" si="4"/>
        <v>24.661999999999992</v>
      </c>
      <c r="F26" s="15">
        <f t="shared" si="5"/>
        <v>1.898400000000001</v>
      </c>
      <c r="G26" s="15">
        <f t="shared" si="6"/>
        <v>1.1932800000000012</v>
      </c>
      <c r="H26" s="15">
        <f t="shared" si="7"/>
        <v>0.44295999999999958</v>
      </c>
      <c r="I26" s="16">
        <f t="shared" si="8"/>
        <v>0.16272000000000003</v>
      </c>
    </row>
    <row r="27" spans="1:14" x14ac:dyDescent="0.2">
      <c r="A27" s="12">
        <v>2050</v>
      </c>
      <c r="B27" s="15">
        <f t="shared" si="1"/>
        <v>592.55933333333405</v>
      </c>
      <c r="C27" s="15">
        <f t="shared" si="2"/>
        <v>163.25099999999995</v>
      </c>
      <c r="D27" s="15">
        <f t="shared" si="3"/>
        <v>15.547999999999998</v>
      </c>
      <c r="E27" s="15">
        <f t="shared" si="4"/>
        <v>24.337499999999991</v>
      </c>
      <c r="F27" s="15">
        <f t="shared" si="5"/>
        <v>1.890000000000001</v>
      </c>
      <c r="G27" s="15">
        <f t="shared" si="6"/>
        <v>1.1880000000000013</v>
      </c>
      <c r="H27" s="15">
        <f t="shared" si="7"/>
        <v>0.44099999999999956</v>
      </c>
      <c r="I27" s="16">
        <f t="shared" si="8"/>
        <v>0.16200000000000003</v>
      </c>
    </row>
    <row r="28" spans="1:14" x14ac:dyDescent="0.2">
      <c r="A28" s="12">
        <v>2051</v>
      </c>
      <c r="B28" s="15">
        <f t="shared" si="1"/>
        <v>581.57530666666742</v>
      </c>
      <c r="C28" s="15">
        <f t="shared" si="2"/>
        <v>162.52543999999995</v>
      </c>
      <c r="D28" s="15">
        <f t="shared" si="3"/>
        <v>15.358719999999998</v>
      </c>
      <c r="E28" s="15">
        <f t="shared" si="4"/>
        <v>24.012999999999991</v>
      </c>
      <c r="F28" s="15">
        <f t="shared" si="5"/>
        <v>1.881600000000001</v>
      </c>
      <c r="G28" s="15">
        <f t="shared" si="6"/>
        <v>1.1827200000000013</v>
      </c>
      <c r="H28" s="15">
        <f t="shared" si="7"/>
        <v>0.43903999999999954</v>
      </c>
      <c r="I28" s="16">
        <f t="shared" si="8"/>
        <v>0.16128000000000003</v>
      </c>
    </row>
    <row r="29" spans="1:14" x14ac:dyDescent="0.2">
      <c r="A29" s="12">
        <v>2052</v>
      </c>
      <c r="B29" s="15">
        <f t="shared" si="1"/>
        <v>570.59128000000078</v>
      </c>
      <c r="C29" s="15">
        <f t="shared" si="2"/>
        <v>161.79987999999994</v>
      </c>
      <c r="D29" s="15">
        <f t="shared" si="3"/>
        <v>15.169439999999998</v>
      </c>
      <c r="E29" s="15">
        <f t="shared" si="4"/>
        <v>23.688499999999991</v>
      </c>
      <c r="F29" s="15">
        <f t="shared" si="5"/>
        <v>1.8732000000000011</v>
      </c>
      <c r="G29" s="15">
        <f t="shared" si="6"/>
        <v>1.1774400000000014</v>
      </c>
      <c r="H29" s="15">
        <f t="shared" si="7"/>
        <v>0.43707999999999952</v>
      </c>
      <c r="I29" s="16">
        <f t="shared" si="8"/>
        <v>0.16056000000000004</v>
      </c>
    </row>
    <row r="30" spans="1:14" x14ac:dyDescent="0.2">
      <c r="A30" s="12">
        <v>2053</v>
      </c>
      <c r="B30" s="15">
        <f t="shared" si="1"/>
        <v>559.60725333333414</v>
      </c>
      <c r="C30" s="15">
        <f t="shared" si="2"/>
        <v>161.07431999999994</v>
      </c>
      <c r="D30" s="15">
        <f t="shared" si="3"/>
        <v>14.980159999999998</v>
      </c>
      <c r="E30" s="15">
        <f t="shared" si="4"/>
        <v>23.36399999999999</v>
      </c>
      <c r="F30" s="15">
        <f t="shared" si="5"/>
        <v>1.8648000000000011</v>
      </c>
      <c r="G30" s="15">
        <f t="shared" si="6"/>
        <v>1.1721600000000014</v>
      </c>
      <c r="H30" s="15">
        <f t="shared" si="7"/>
        <v>0.43511999999999951</v>
      </c>
      <c r="I30" s="16">
        <f t="shared" si="8"/>
        <v>0.15984000000000004</v>
      </c>
    </row>
    <row r="31" spans="1:14" x14ac:dyDescent="0.2">
      <c r="A31" s="12">
        <v>2054</v>
      </c>
      <c r="B31" s="15">
        <f t="shared" si="1"/>
        <v>548.62322666666751</v>
      </c>
      <c r="C31" s="15">
        <f t="shared" si="2"/>
        <v>160.34875999999994</v>
      </c>
      <c r="D31" s="15">
        <f t="shared" si="3"/>
        <v>14.790879999999998</v>
      </c>
      <c r="E31" s="15">
        <f t="shared" si="4"/>
        <v>23.03949999999999</v>
      </c>
      <c r="F31" s="15">
        <f t="shared" si="5"/>
        <v>1.8564000000000012</v>
      </c>
      <c r="G31" s="15">
        <f t="shared" si="6"/>
        <v>1.1668800000000015</v>
      </c>
      <c r="H31" s="15">
        <f t="shared" si="7"/>
        <v>0.43315999999999949</v>
      </c>
      <c r="I31" s="16">
        <f t="shared" si="8"/>
        <v>0.15912000000000004</v>
      </c>
    </row>
    <row r="32" spans="1:14" x14ac:dyDescent="0.2">
      <c r="A32" s="12">
        <v>2055</v>
      </c>
      <c r="B32" s="15">
        <f t="shared" si="1"/>
        <v>537.63920000000087</v>
      </c>
      <c r="C32" s="15">
        <f t="shared" si="2"/>
        <v>159.62319999999994</v>
      </c>
      <c r="D32" s="15">
        <f t="shared" si="3"/>
        <v>14.601599999999998</v>
      </c>
      <c r="E32" s="15">
        <f t="shared" si="4"/>
        <v>22.714999999999989</v>
      </c>
      <c r="F32" s="15">
        <f t="shared" si="5"/>
        <v>1.8480000000000012</v>
      </c>
      <c r="G32" s="15">
        <f t="shared" si="6"/>
        <v>1.1616000000000015</v>
      </c>
      <c r="H32" s="15">
        <f t="shared" si="7"/>
        <v>0.43119999999999947</v>
      </c>
      <c r="I32" s="16">
        <f t="shared" si="8"/>
        <v>0.15840000000000004</v>
      </c>
    </row>
    <row r="33" spans="1:9" x14ac:dyDescent="0.2">
      <c r="A33" s="12">
        <v>2056</v>
      </c>
      <c r="B33" s="15">
        <f t="shared" si="1"/>
        <v>526.65517333333423</v>
      </c>
      <c r="C33" s="15">
        <f t="shared" si="2"/>
        <v>158.89763999999994</v>
      </c>
      <c r="D33" s="15">
        <f t="shared" si="3"/>
        <v>14.412319999999998</v>
      </c>
      <c r="E33" s="15">
        <f t="shared" si="4"/>
        <v>22.390499999999989</v>
      </c>
      <c r="F33" s="15">
        <f t="shared" si="5"/>
        <v>1.8396000000000012</v>
      </c>
      <c r="G33" s="15">
        <f t="shared" si="6"/>
        <v>1.1563200000000016</v>
      </c>
      <c r="H33" s="15">
        <f t="shared" si="7"/>
        <v>0.42923999999999946</v>
      </c>
      <c r="I33" s="16">
        <f t="shared" si="8"/>
        <v>0.15768000000000004</v>
      </c>
    </row>
    <row r="34" spans="1:9" x14ac:dyDescent="0.2">
      <c r="A34" s="12">
        <v>2057</v>
      </c>
      <c r="B34" s="15">
        <f t="shared" si="1"/>
        <v>515.6711466666676</v>
      </c>
      <c r="C34" s="15">
        <f t="shared" si="2"/>
        <v>158.17207999999994</v>
      </c>
      <c r="D34" s="15">
        <f t="shared" si="3"/>
        <v>14.223039999999997</v>
      </c>
      <c r="E34" s="15">
        <f t="shared" si="4"/>
        <v>22.065999999999988</v>
      </c>
      <c r="F34" s="15">
        <f t="shared" si="5"/>
        <v>1.8312000000000013</v>
      </c>
      <c r="G34" s="15">
        <f t="shared" si="6"/>
        <v>1.1510400000000016</v>
      </c>
      <c r="H34" s="15">
        <f t="shared" si="7"/>
        <v>0.42727999999999944</v>
      </c>
      <c r="I34" s="16">
        <f t="shared" si="8"/>
        <v>0.15696000000000004</v>
      </c>
    </row>
    <row r="35" spans="1:9" x14ac:dyDescent="0.2">
      <c r="A35" s="12">
        <v>2058</v>
      </c>
      <c r="B35" s="15">
        <f t="shared" si="1"/>
        <v>504.6871200000009</v>
      </c>
      <c r="C35" s="15">
        <f t="shared" si="2"/>
        <v>157.44651999999994</v>
      </c>
      <c r="D35" s="15">
        <f t="shared" si="3"/>
        <v>14.033759999999997</v>
      </c>
      <c r="E35" s="15">
        <f t="shared" si="4"/>
        <v>21.741499999999988</v>
      </c>
      <c r="F35" s="15">
        <f t="shared" si="5"/>
        <v>1.8228000000000013</v>
      </c>
      <c r="G35" s="15">
        <f t="shared" si="6"/>
        <v>1.1457600000000017</v>
      </c>
      <c r="H35" s="15">
        <f t="shared" si="7"/>
        <v>0.42531999999999942</v>
      </c>
      <c r="I35" s="16">
        <f t="shared" si="8"/>
        <v>0.15624000000000005</v>
      </c>
    </row>
    <row r="36" spans="1:9" x14ac:dyDescent="0.2">
      <c r="A36" s="12">
        <v>2059</v>
      </c>
      <c r="B36" s="15">
        <f t="shared" si="1"/>
        <v>493.70309333333421</v>
      </c>
      <c r="C36" s="15">
        <f t="shared" si="2"/>
        <v>156.72095999999993</v>
      </c>
      <c r="D36" s="15">
        <f t="shared" si="3"/>
        <v>13.844479999999997</v>
      </c>
      <c r="E36" s="15">
        <f t="shared" si="4"/>
        <v>21.416999999999987</v>
      </c>
      <c r="F36" s="15">
        <f t="shared" si="5"/>
        <v>1.8144000000000013</v>
      </c>
      <c r="G36" s="15">
        <f t="shared" si="6"/>
        <v>1.1404800000000017</v>
      </c>
      <c r="H36" s="15">
        <f t="shared" si="7"/>
        <v>0.4233599999999994</v>
      </c>
      <c r="I36" s="16">
        <f t="shared" si="8"/>
        <v>0.15552000000000005</v>
      </c>
    </row>
    <row r="37" spans="1:9" x14ac:dyDescent="0.2">
      <c r="A37" s="12">
        <v>2060</v>
      </c>
      <c r="B37" s="15">
        <f t="shared" si="1"/>
        <v>482.71906666666752</v>
      </c>
      <c r="C37" s="15">
        <f t="shared" si="2"/>
        <v>155.99539999999993</v>
      </c>
      <c r="D37" s="15">
        <f t="shared" si="3"/>
        <v>13.655199999999997</v>
      </c>
      <c r="E37" s="15">
        <f t="shared" si="4"/>
        <v>21.092499999999987</v>
      </c>
      <c r="F37" s="15">
        <f t="shared" si="5"/>
        <v>1.8060000000000014</v>
      </c>
      <c r="G37" s="15">
        <f t="shared" si="6"/>
        <v>1.1352000000000018</v>
      </c>
      <c r="H37" s="15">
        <f t="shared" si="7"/>
        <v>0.42139999999999939</v>
      </c>
      <c r="I37" s="16">
        <f t="shared" si="8"/>
        <v>0.15480000000000005</v>
      </c>
    </row>
    <row r="38" spans="1:9" x14ac:dyDescent="0.2">
      <c r="A38" s="12">
        <v>2061</v>
      </c>
      <c r="B38" s="15">
        <f t="shared" si="1"/>
        <v>471.73504000000082</v>
      </c>
      <c r="C38" s="15">
        <f t="shared" si="2"/>
        <v>155.26983999999993</v>
      </c>
      <c r="D38" s="15">
        <f t="shared" si="3"/>
        <v>13.465919999999997</v>
      </c>
      <c r="E38" s="15">
        <f t="shared" si="4"/>
        <v>20.767999999999986</v>
      </c>
      <c r="F38" s="15">
        <f t="shared" si="5"/>
        <v>1.7976000000000014</v>
      </c>
      <c r="G38" s="15">
        <f t="shared" si="6"/>
        <v>1.1299200000000018</v>
      </c>
      <c r="H38" s="15">
        <f t="shared" si="7"/>
        <v>0.41943999999999937</v>
      </c>
      <c r="I38" s="16">
        <f t="shared" si="8"/>
        <v>0.15408000000000005</v>
      </c>
    </row>
    <row r="39" spans="1:9" x14ac:dyDescent="0.2">
      <c r="A39" s="12">
        <v>2062</v>
      </c>
      <c r="B39" s="15">
        <f t="shared" si="1"/>
        <v>460.75101333333413</v>
      </c>
      <c r="C39" s="15">
        <f t="shared" si="2"/>
        <v>154.54427999999993</v>
      </c>
      <c r="D39" s="15">
        <f t="shared" si="3"/>
        <v>13.276639999999997</v>
      </c>
      <c r="E39" s="15">
        <f t="shared" si="4"/>
        <v>20.443499999999986</v>
      </c>
      <c r="F39" s="15">
        <f t="shared" si="5"/>
        <v>1.7892000000000015</v>
      </c>
      <c r="G39" s="15">
        <f t="shared" si="6"/>
        <v>1.1246400000000019</v>
      </c>
      <c r="H39" s="15">
        <f t="shared" si="7"/>
        <v>0.41747999999999935</v>
      </c>
      <c r="I39" s="16">
        <f t="shared" si="8"/>
        <v>0.15336000000000005</v>
      </c>
    </row>
    <row r="40" spans="1:9" x14ac:dyDescent="0.2">
      <c r="A40" s="12">
        <v>2063</v>
      </c>
      <c r="B40" s="15">
        <f t="shared" si="1"/>
        <v>449.76698666666744</v>
      </c>
      <c r="C40" s="15">
        <f t="shared" si="2"/>
        <v>153.81871999999993</v>
      </c>
      <c r="D40" s="15">
        <f t="shared" si="3"/>
        <v>13.087359999999997</v>
      </c>
      <c r="E40" s="15">
        <f t="shared" si="4"/>
        <v>20.118999999999986</v>
      </c>
      <c r="F40" s="15">
        <f t="shared" si="5"/>
        <v>1.7808000000000015</v>
      </c>
      <c r="G40" s="15">
        <f t="shared" si="6"/>
        <v>1.1193600000000019</v>
      </c>
      <c r="H40" s="15">
        <f t="shared" si="7"/>
        <v>0.41551999999999933</v>
      </c>
      <c r="I40" s="16">
        <f t="shared" si="8"/>
        <v>0.15264000000000005</v>
      </c>
    </row>
    <row r="41" spans="1:9" x14ac:dyDescent="0.2">
      <c r="A41" s="12">
        <v>2064</v>
      </c>
      <c r="B41" s="15">
        <f t="shared" si="1"/>
        <v>438.78296000000074</v>
      </c>
      <c r="C41" s="15">
        <f t="shared" si="2"/>
        <v>153.09315999999993</v>
      </c>
      <c r="D41" s="15">
        <f t="shared" si="3"/>
        <v>12.898079999999997</v>
      </c>
      <c r="E41" s="15">
        <f t="shared" si="4"/>
        <v>19.794499999999985</v>
      </c>
      <c r="F41" s="15">
        <f t="shared" si="5"/>
        <v>1.7724000000000015</v>
      </c>
      <c r="G41" s="15">
        <f t="shared" si="6"/>
        <v>1.114080000000002</v>
      </c>
      <c r="H41" s="15">
        <f t="shared" si="7"/>
        <v>0.41355999999999932</v>
      </c>
      <c r="I41" s="16">
        <f t="shared" si="8"/>
        <v>0.15192000000000005</v>
      </c>
    </row>
    <row r="42" spans="1:9" x14ac:dyDescent="0.2">
      <c r="A42" s="12">
        <v>2065</v>
      </c>
      <c r="B42" s="15">
        <f t="shared" si="1"/>
        <v>427.79893333333405</v>
      </c>
      <c r="C42" s="15">
        <f t="shared" si="2"/>
        <v>152.36759999999992</v>
      </c>
      <c r="D42" s="15">
        <f t="shared" si="3"/>
        <v>12.708799999999997</v>
      </c>
      <c r="E42" s="15">
        <f t="shared" si="4"/>
        <v>19.469999999999985</v>
      </c>
      <c r="F42" s="15">
        <f t="shared" si="5"/>
        <v>1.7640000000000016</v>
      </c>
      <c r="G42" s="15">
        <f t="shared" si="6"/>
        <v>1.108800000000002</v>
      </c>
      <c r="H42" s="15">
        <f t="shared" si="7"/>
        <v>0.4115999999999993</v>
      </c>
      <c r="I42" s="16">
        <f t="shared" si="8"/>
        <v>0.15120000000000006</v>
      </c>
    </row>
    <row r="43" spans="1:9" x14ac:dyDescent="0.2">
      <c r="A43" s="12">
        <v>2066</v>
      </c>
      <c r="B43" s="15">
        <f t="shared" si="1"/>
        <v>416.81490666666735</v>
      </c>
      <c r="C43" s="15">
        <f t="shared" si="2"/>
        <v>151.64203999999992</v>
      </c>
      <c r="D43" s="15">
        <f t="shared" si="3"/>
        <v>12.519519999999996</v>
      </c>
      <c r="E43" s="15">
        <f t="shared" si="4"/>
        <v>19.145499999999984</v>
      </c>
      <c r="F43" s="15">
        <f t="shared" si="5"/>
        <v>1.7556000000000016</v>
      </c>
      <c r="G43" s="15">
        <f t="shared" si="6"/>
        <v>1.1035200000000021</v>
      </c>
      <c r="H43" s="15">
        <f t="shared" si="7"/>
        <v>0.40963999999999928</v>
      </c>
      <c r="I43" s="16">
        <f t="shared" si="8"/>
        <v>0.15048000000000006</v>
      </c>
    </row>
    <row r="44" spans="1:9" x14ac:dyDescent="0.2">
      <c r="A44" s="12">
        <v>2067</v>
      </c>
      <c r="B44" s="15">
        <f t="shared" si="1"/>
        <v>405.83088000000066</v>
      </c>
      <c r="C44" s="15">
        <f t="shared" si="2"/>
        <v>150.91647999999992</v>
      </c>
      <c r="D44" s="15">
        <f t="shared" si="3"/>
        <v>12.330239999999996</v>
      </c>
      <c r="E44" s="15">
        <f t="shared" si="4"/>
        <v>18.820999999999984</v>
      </c>
      <c r="F44" s="15">
        <f t="shared" si="5"/>
        <v>1.7472000000000016</v>
      </c>
      <c r="G44" s="15">
        <f t="shared" si="6"/>
        <v>1.0982400000000021</v>
      </c>
      <c r="H44" s="15">
        <f t="shared" si="7"/>
        <v>0.40767999999999927</v>
      </c>
      <c r="I44" s="16">
        <f t="shared" si="8"/>
        <v>0.14976000000000006</v>
      </c>
    </row>
    <row r="45" spans="1:9" x14ac:dyDescent="0.2">
      <c r="A45" s="12">
        <v>2068</v>
      </c>
      <c r="B45" s="15">
        <f t="shared" si="1"/>
        <v>394.84685333333397</v>
      </c>
      <c r="C45" s="15">
        <f t="shared" si="2"/>
        <v>150.19091999999992</v>
      </c>
      <c r="D45" s="15">
        <f t="shared" si="3"/>
        <v>12.140959999999996</v>
      </c>
      <c r="E45" s="15">
        <f t="shared" si="4"/>
        <v>18.496499999999983</v>
      </c>
      <c r="F45" s="15">
        <f t="shared" si="5"/>
        <v>1.7388000000000017</v>
      </c>
      <c r="G45" s="15">
        <f t="shared" si="6"/>
        <v>1.0929600000000022</v>
      </c>
      <c r="H45" s="15">
        <f t="shared" si="7"/>
        <v>0.40571999999999925</v>
      </c>
      <c r="I45" s="16">
        <f t="shared" si="8"/>
        <v>0.14904000000000006</v>
      </c>
    </row>
    <row r="46" spans="1:9" x14ac:dyDescent="0.2">
      <c r="A46" s="12">
        <v>2069</v>
      </c>
      <c r="B46" s="15">
        <f t="shared" si="1"/>
        <v>383.86282666666727</v>
      </c>
      <c r="C46" s="15">
        <f t="shared" si="2"/>
        <v>149.46535999999992</v>
      </c>
      <c r="D46" s="15">
        <f t="shared" si="3"/>
        <v>11.951679999999996</v>
      </c>
      <c r="E46" s="15">
        <f t="shared" si="4"/>
        <v>18.171999999999983</v>
      </c>
      <c r="F46" s="15">
        <f t="shared" si="5"/>
        <v>1.7304000000000017</v>
      </c>
      <c r="G46" s="15">
        <f t="shared" si="6"/>
        <v>1.0876800000000022</v>
      </c>
      <c r="H46" s="15">
        <f t="shared" si="7"/>
        <v>0.40375999999999923</v>
      </c>
      <c r="I46" s="16">
        <f t="shared" si="8"/>
        <v>0.14832000000000006</v>
      </c>
    </row>
    <row r="47" spans="1:9" x14ac:dyDescent="0.2">
      <c r="A47" s="12">
        <v>2070</v>
      </c>
      <c r="B47" s="15">
        <f t="shared" si="1"/>
        <v>372.87880000000058</v>
      </c>
      <c r="C47" s="15">
        <f t="shared" si="2"/>
        <v>148.73979999999992</v>
      </c>
      <c r="D47" s="15">
        <f t="shared" si="3"/>
        <v>11.762399999999996</v>
      </c>
      <c r="E47" s="15">
        <f t="shared" si="4"/>
        <v>17.847499999999982</v>
      </c>
      <c r="F47" s="15">
        <f t="shared" si="5"/>
        <v>1.7220000000000018</v>
      </c>
      <c r="G47" s="15">
        <f t="shared" si="6"/>
        <v>1.0824000000000022</v>
      </c>
      <c r="H47" s="15">
        <f t="shared" si="7"/>
        <v>0.40179999999999921</v>
      </c>
      <c r="I47" s="16">
        <f t="shared" si="8"/>
        <v>0.14760000000000006</v>
      </c>
    </row>
    <row r="48" spans="1:9" x14ac:dyDescent="0.2">
      <c r="A48" s="12">
        <v>2071</v>
      </c>
      <c r="B48" s="15">
        <f t="shared" si="1"/>
        <v>361.89477333333389</v>
      </c>
      <c r="C48" s="15">
        <f t="shared" si="2"/>
        <v>148.01423999999992</v>
      </c>
      <c r="D48" s="15">
        <f t="shared" si="3"/>
        <v>11.573119999999996</v>
      </c>
      <c r="E48" s="15">
        <f t="shared" si="4"/>
        <v>17.522999999999982</v>
      </c>
      <c r="F48" s="15">
        <f t="shared" si="5"/>
        <v>1.7136000000000018</v>
      </c>
      <c r="G48" s="15">
        <f t="shared" si="6"/>
        <v>1.0771200000000023</v>
      </c>
      <c r="H48" s="15">
        <f t="shared" si="7"/>
        <v>0.3998399999999992</v>
      </c>
      <c r="I48" s="16">
        <f t="shared" si="8"/>
        <v>0.14688000000000007</v>
      </c>
    </row>
    <row r="49" spans="1:9" x14ac:dyDescent="0.2">
      <c r="A49" s="12">
        <v>2072</v>
      </c>
      <c r="B49" s="15">
        <f t="shared" si="1"/>
        <v>350.91074666666719</v>
      </c>
      <c r="C49" s="15">
        <f t="shared" si="2"/>
        <v>147.28867999999991</v>
      </c>
      <c r="D49" s="15">
        <f t="shared" si="3"/>
        <v>11.383839999999996</v>
      </c>
      <c r="E49" s="15">
        <f t="shared" si="4"/>
        <v>17.198499999999981</v>
      </c>
      <c r="F49" s="15">
        <f t="shared" si="5"/>
        <v>1.7052000000000018</v>
      </c>
      <c r="G49" s="15">
        <f t="shared" si="6"/>
        <v>1.0718400000000023</v>
      </c>
      <c r="H49" s="15">
        <f t="shared" si="7"/>
        <v>0.39787999999999918</v>
      </c>
      <c r="I49" s="16">
        <f t="shared" si="8"/>
        <v>0.14616000000000007</v>
      </c>
    </row>
    <row r="50" spans="1:9" x14ac:dyDescent="0.2">
      <c r="A50" s="12">
        <v>2073</v>
      </c>
      <c r="B50" s="15">
        <f t="shared" si="1"/>
        <v>339.9267200000005</v>
      </c>
      <c r="C50" s="15">
        <f t="shared" si="2"/>
        <v>146.56311999999991</v>
      </c>
      <c r="D50" s="15">
        <f t="shared" si="3"/>
        <v>11.194559999999996</v>
      </c>
      <c r="E50" s="15">
        <f t="shared" si="4"/>
        <v>16.873999999999981</v>
      </c>
      <c r="F50" s="15">
        <f t="shared" si="5"/>
        <v>1.6968000000000019</v>
      </c>
      <c r="G50" s="15">
        <f t="shared" si="6"/>
        <v>1.0665600000000024</v>
      </c>
      <c r="H50" s="15">
        <f t="shared" si="7"/>
        <v>0.39591999999999916</v>
      </c>
      <c r="I50" s="16">
        <f t="shared" si="8"/>
        <v>0.14544000000000007</v>
      </c>
    </row>
    <row r="51" spans="1:9" x14ac:dyDescent="0.2">
      <c r="A51" s="12">
        <v>2074</v>
      </c>
      <c r="B51" s="15">
        <f t="shared" si="1"/>
        <v>328.94269333333381</v>
      </c>
      <c r="C51" s="15">
        <f t="shared" si="2"/>
        <v>145.83755999999991</v>
      </c>
      <c r="D51" s="15">
        <f t="shared" si="3"/>
        <v>11.005279999999996</v>
      </c>
      <c r="E51" s="15">
        <f t="shared" si="4"/>
        <v>16.549499999999981</v>
      </c>
      <c r="F51" s="15">
        <f t="shared" si="5"/>
        <v>1.6884000000000019</v>
      </c>
      <c r="G51" s="15">
        <f t="shared" si="6"/>
        <v>1.0612800000000024</v>
      </c>
      <c r="H51" s="15">
        <f t="shared" si="7"/>
        <v>0.39395999999999914</v>
      </c>
      <c r="I51" s="16">
        <f t="shared" si="8"/>
        <v>0.14472000000000007</v>
      </c>
    </row>
    <row r="52" spans="1:9" x14ac:dyDescent="0.2">
      <c r="A52" s="12">
        <v>2075</v>
      </c>
      <c r="B52" s="15">
        <f t="shared" si="1"/>
        <v>317.95866666666711</v>
      </c>
      <c r="C52" s="15">
        <f t="shared" si="2"/>
        <v>145.11199999999991</v>
      </c>
      <c r="D52" s="15">
        <f t="shared" si="3"/>
        <v>10.815999999999995</v>
      </c>
      <c r="E52" s="15">
        <f t="shared" si="4"/>
        <v>16.22499999999998</v>
      </c>
      <c r="F52" s="15">
        <f t="shared" si="5"/>
        <v>1.6800000000000019</v>
      </c>
      <c r="G52" s="15">
        <f t="shared" si="6"/>
        <v>1.0560000000000025</v>
      </c>
      <c r="H52" s="15">
        <f t="shared" si="7"/>
        <v>0.39199999999999913</v>
      </c>
      <c r="I52" s="16">
        <f t="shared" si="8"/>
        <v>0.14400000000000007</v>
      </c>
    </row>
    <row r="53" spans="1:9" x14ac:dyDescent="0.2">
      <c r="A53" s="12">
        <v>2076</v>
      </c>
      <c r="B53" s="15">
        <f t="shared" si="1"/>
        <v>306.97464000000042</v>
      </c>
      <c r="C53" s="15">
        <f t="shared" si="2"/>
        <v>144.38643999999991</v>
      </c>
      <c r="D53" s="15">
        <f t="shared" si="3"/>
        <v>10.626719999999995</v>
      </c>
      <c r="E53" s="15">
        <f t="shared" si="4"/>
        <v>15.90049999999998</v>
      </c>
      <c r="F53" s="15">
        <f t="shared" si="5"/>
        <v>1.671600000000002</v>
      </c>
      <c r="G53" s="15">
        <f t="shared" si="6"/>
        <v>1.0507200000000025</v>
      </c>
      <c r="H53" s="15">
        <f t="shared" si="7"/>
        <v>0.39003999999999911</v>
      </c>
      <c r="I53" s="16">
        <f t="shared" si="8"/>
        <v>0.14328000000000007</v>
      </c>
    </row>
    <row r="54" spans="1:9" x14ac:dyDescent="0.2">
      <c r="A54" s="12">
        <v>2077</v>
      </c>
      <c r="B54" s="15">
        <f t="shared" si="1"/>
        <v>295.99061333333373</v>
      </c>
      <c r="C54" s="15">
        <f t="shared" si="2"/>
        <v>143.66087999999991</v>
      </c>
      <c r="D54" s="15">
        <f t="shared" si="3"/>
        <v>10.437439999999995</v>
      </c>
      <c r="E54" s="15">
        <f t="shared" si="4"/>
        <v>15.575999999999979</v>
      </c>
      <c r="F54" s="15">
        <f t="shared" si="5"/>
        <v>1.663200000000002</v>
      </c>
      <c r="G54" s="15">
        <f t="shared" si="6"/>
        <v>1.0454400000000026</v>
      </c>
      <c r="H54" s="15">
        <f t="shared" si="7"/>
        <v>0.38807999999999909</v>
      </c>
      <c r="I54" s="16">
        <f t="shared" si="8"/>
        <v>0.14256000000000008</v>
      </c>
    </row>
    <row r="55" spans="1:9" x14ac:dyDescent="0.2">
      <c r="A55" s="12">
        <v>2078</v>
      </c>
      <c r="B55" s="15">
        <f t="shared" si="1"/>
        <v>285.00658666666703</v>
      </c>
      <c r="C55" s="15">
        <f t="shared" si="2"/>
        <v>142.9353199999999</v>
      </c>
      <c r="D55" s="15">
        <f t="shared" si="3"/>
        <v>10.248159999999995</v>
      </c>
      <c r="E55" s="15">
        <f t="shared" si="4"/>
        <v>15.251499999999979</v>
      </c>
      <c r="F55" s="15">
        <f t="shared" si="5"/>
        <v>1.654800000000002</v>
      </c>
      <c r="G55" s="15">
        <f t="shared" si="6"/>
        <v>1.0401600000000026</v>
      </c>
      <c r="H55" s="15">
        <f t="shared" si="7"/>
        <v>0.38611999999999908</v>
      </c>
      <c r="I55" s="16">
        <f t="shared" si="8"/>
        <v>0.14184000000000008</v>
      </c>
    </row>
    <row r="56" spans="1:9" x14ac:dyDescent="0.2">
      <c r="A56" s="12">
        <v>2079</v>
      </c>
      <c r="B56" s="15">
        <f t="shared" si="1"/>
        <v>274.02256000000034</v>
      </c>
      <c r="C56" s="15">
        <f t="shared" si="2"/>
        <v>142.2097599999999</v>
      </c>
      <c r="D56" s="15">
        <f t="shared" si="3"/>
        <v>10.058879999999995</v>
      </c>
      <c r="E56" s="15">
        <f t="shared" si="4"/>
        <v>14.926999999999978</v>
      </c>
      <c r="F56" s="15">
        <f t="shared" si="5"/>
        <v>1.6464000000000021</v>
      </c>
      <c r="G56" s="15">
        <f t="shared" si="6"/>
        <v>1.0348800000000027</v>
      </c>
      <c r="H56" s="15">
        <f t="shared" si="7"/>
        <v>0.38415999999999906</v>
      </c>
      <c r="I56" s="16">
        <f t="shared" si="8"/>
        <v>0.14112000000000008</v>
      </c>
    </row>
    <row r="57" spans="1:9" x14ac:dyDescent="0.2">
      <c r="A57" s="12">
        <v>2080</v>
      </c>
      <c r="B57" s="15">
        <f t="shared" si="1"/>
        <v>263.03853333333365</v>
      </c>
      <c r="C57" s="15">
        <f t="shared" si="2"/>
        <v>141.4841999999999</v>
      </c>
      <c r="D57" s="15">
        <f t="shared" si="3"/>
        <v>9.8695999999999948</v>
      </c>
      <c r="E57" s="15">
        <f t="shared" si="4"/>
        <v>14.602499999999978</v>
      </c>
      <c r="F57" s="15">
        <f t="shared" si="5"/>
        <v>1.6380000000000021</v>
      </c>
      <c r="G57" s="15">
        <f t="shared" si="6"/>
        <v>1.0296000000000027</v>
      </c>
      <c r="H57" s="15">
        <f t="shared" si="7"/>
        <v>0.38219999999999904</v>
      </c>
      <c r="I57" s="16">
        <f t="shared" si="8"/>
        <v>0.14040000000000008</v>
      </c>
    </row>
    <row r="58" spans="1:9" x14ac:dyDescent="0.2">
      <c r="A58" s="12">
        <v>2081</v>
      </c>
      <c r="B58" s="15">
        <f t="shared" si="1"/>
        <v>252.05450666666698</v>
      </c>
      <c r="C58" s="15">
        <f t="shared" si="2"/>
        <v>140.7586399999999</v>
      </c>
      <c r="D58" s="15">
        <f t="shared" si="3"/>
        <v>9.6803199999999947</v>
      </c>
      <c r="E58" s="15">
        <f t="shared" si="4"/>
        <v>14.277999999999977</v>
      </c>
      <c r="F58" s="15">
        <f t="shared" si="5"/>
        <v>1.6296000000000022</v>
      </c>
      <c r="G58" s="15">
        <f t="shared" si="6"/>
        <v>1.0243200000000028</v>
      </c>
      <c r="H58" s="15">
        <f t="shared" si="7"/>
        <v>0.38023999999999902</v>
      </c>
      <c r="I58" s="16">
        <f t="shared" si="8"/>
        <v>0.13968000000000008</v>
      </c>
    </row>
    <row r="59" spans="1:9" x14ac:dyDescent="0.2">
      <c r="A59" s="12">
        <v>2082</v>
      </c>
      <c r="B59" s="15">
        <f t="shared" si="1"/>
        <v>241.07048000000032</v>
      </c>
      <c r="C59" s="15">
        <f t="shared" si="2"/>
        <v>140.0330799999999</v>
      </c>
      <c r="D59" s="15">
        <f t="shared" si="3"/>
        <v>9.4910399999999946</v>
      </c>
      <c r="E59" s="15">
        <f t="shared" si="4"/>
        <v>13.953499999999977</v>
      </c>
      <c r="F59" s="15">
        <f t="shared" si="5"/>
        <v>1.6212000000000022</v>
      </c>
      <c r="G59" s="15">
        <f t="shared" si="6"/>
        <v>1.0190400000000028</v>
      </c>
      <c r="H59" s="15">
        <f t="shared" si="7"/>
        <v>0.37827999999999901</v>
      </c>
      <c r="I59" s="16">
        <f t="shared" si="8"/>
        <v>0.13896000000000008</v>
      </c>
    </row>
    <row r="60" spans="1:9" x14ac:dyDescent="0.2">
      <c r="A60" s="12">
        <v>2083</v>
      </c>
      <c r="B60" s="15">
        <f t="shared" si="1"/>
        <v>230.08645333333365</v>
      </c>
      <c r="C60" s="15">
        <f t="shared" si="2"/>
        <v>139.3075199999999</v>
      </c>
      <c r="D60" s="15">
        <f t="shared" si="3"/>
        <v>9.3017599999999945</v>
      </c>
      <c r="E60" s="15">
        <f t="shared" si="4"/>
        <v>13.628999999999976</v>
      </c>
      <c r="F60" s="15">
        <f t="shared" si="5"/>
        <v>1.6128000000000022</v>
      </c>
      <c r="G60" s="15">
        <f t="shared" si="6"/>
        <v>1.0137600000000029</v>
      </c>
      <c r="H60" s="15">
        <f t="shared" si="7"/>
        <v>0.37631999999999899</v>
      </c>
      <c r="I60" s="16">
        <f t="shared" si="8"/>
        <v>0.13824000000000009</v>
      </c>
    </row>
    <row r="61" spans="1:9" x14ac:dyDescent="0.2">
      <c r="A61" s="12">
        <v>2084</v>
      </c>
      <c r="B61" s="15">
        <f t="shared" si="1"/>
        <v>219.10242666666699</v>
      </c>
      <c r="C61" s="15">
        <f t="shared" si="2"/>
        <v>138.5819599999999</v>
      </c>
      <c r="D61" s="15">
        <f t="shared" si="3"/>
        <v>9.1124799999999944</v>
      </c>
      <c r="E61" s="15">
        <f t="shared" si="4"/>
        <v>13.304499999999976</v>
      </c>
      <c r="F61" s="15">
        <f t="shared" si="5"/>
        <v>1.6044000000000023</v>
      </c>
      <c r="G61" s="15">
        <f t="shared" si="6"/>
        <v>1.0084800000000029</v>
      </c>
      <c r="H61" s="15">
        <f t="shared" si="7"/>
        <v>0.37435999999999897</v>
      </c>
      <c r="I61" s="16">
        <f t="shared" si="8"/>
        <v>0.13752000000000009</v>
      </c>
    </row>
    <row r="62" spans="1:9" x14ac:dyDescent="0.2">
      <c r="A62" s="12">
        <v>2085</v>
      </c>
      <c r="B62" s="15">
        <f t="shared" si="1"/>
        <v>208.11840000000032</v>
      </c>
      <c r="C62" s="15">
        <f t="shared" si="2"/>
        <v>137.85639999999989</v>
      </c>
      <c r="D62" s="15">
        <f t="shared" si="3"/>
        <v>8.9231999999999942</v>
      </c>
      <c r="E62" s="15">
        <f t="shared" si="4"/>
        <v>12.979999999999976</v>
      </c>
      <c r="F62" s="15">
        <f t="shared" si="5"/>
        <v>1.5960000000000023</v>
      </c>
      <c r="G62" s="15">
        <f t="shared" si="6"/>
        <v>1.003200000000003</v>
      </c>
      <c r="H62" s="15">
        <f t="shared" si="7"/>
        <v>0.37239999999999895</v>
      </c>
      <c r="I62" s="16">
        <f t="shared" si="8"/>
        <v>0.13680000000000009</v>
      </c>
    </row>
    <row r="63" spans="1:9" x14ac:dyDescent="0.2">
      <c r="A63" s="12">
        <v>2086</v>
      </c>
      <c r="B63" s="15">
        <f t="shared" si="1"/>
        <v>197.13437333333366</v>
      </c>
      <c r="C63" s="15">
        <f t="shared" si="2"/>
        <v>137.13083999999989</v>
      </c>
      <c r="D63" s="15">
        <f t="shared" si="3"/>
        <v>8.7339199999999941</v>
      </c>
      <c r="E63" s="15">
        <f t="shared" si="4"/>
        <v>12.655499999999975</v>
      </c>
      <c r="F63" s="15">
        <f t="shared" si="5"/>
        <v>1.5876000000000023</v>
      </c>
      <c r="G63" s="15">
        <f t="shared" si="6"/>
        <v>0.99792000000000303</v>
      </c>
      <c r="H63" s="15">
        <f t="shared" si="7"/>
        <v>0.37043999999999894</v>
      </c>
      <c r="I63" s="16">
        <f t="shared" si="8"/>
        <v>0.13608000000000009</v>
      </c>
    </row>
    <row r="64" spans="1:9" x14ac:dyDescent="0.2">
      <c r="A64" s="12">
        <v>2087</v>
      </c>
      <c r="B64" s="15">
        <f t="shared" si="1"/>
        <v>186.15034666666699</v>
      </c>
      <c r="C64" s="15">
        <f t="shared" si="2"/>
        <v>136.40527999999989</v>
      </c>
      <c r="D64" s="15">
        <f t="shared" si="3"/>
        <v>8.544639999999994</v>
      </c>
      <c r="E64" s="15">
        <f t="shared" si="4"/>
        <v>12.330999999999975</v>
      </c>
      <c r="F64" s="15">
        <f t="shared" si="5"/>
        <v>1.5792000000000024</v>
      </c>
      <c r="G64" s="15">
        <f t="shared" si="6"/>
        <v>0.99264000000000308</v>
      </c>
      <c r="H64" s="15">
        <f t="shared" si="7"/>
        <v>0.36847999999999892</v>
      </c>
      <c r="I64" s="16">
        <f t="shared" si="8"/>
        <v>0.13536000000000009</v>
      </c>
    </row>
    <row r="65" spans="1:9" x14ac:dyDescent="0.2">
      <c r="A65" s="12">
        <v>2088</v>
      </c>
      <c r="B65" s="15">
        <f t="shared" si="1"/>
        <v>175.16632000000033</v>
      </c>
      <c r="C65" s="15">
        <f t="shared" si="2"/>
        <v>135.67971999999989</v>
      </c>
      <c r="D65" s="15">
        <f t="shared" si="3"/>
        <v>8.3553599999999939</v>
      </c>
      <c r="E65" s="15">
        <f t="shared" si="4"/>
        <v>12.006499999999974</v>
      </c>
      <c r="F65" s="15">
        <f t="shared" si="5"/>
        <v>1.5708000000000024</v>
      </c>
      <c r="G65" s="15">
        <f t="shared" si="6"/>
        <v>0.98736000000000312</v>
      </c>
      <c r="H65" s="15">
        <f t="shared" si="7"/>
        <v>0.3665199999999989</v>
      </c>
      <c r="I65" s="16">
        <f t="shared" si="8"/>
        <v>0.13464000000000009</v>
      </c>
    </row>
    <row r="66" spans="1:9" x14ac:dyDescent="0.2">
      <c r="A66" s="12">
        <v>2089</v>
      </c>
      <c r="B66" s="15">
        <f t="shared" si="1"/>
        <v>164.18229333333366</v>
      </c>
      <c r="C66" s="15">
        <f t="shared" si="2"/>
        <v>134.95415999999989</v>
      </c>
      <c r="D66" s="15">
        <f t="shared" si="3"/>
        <v>8.1660799999999938</v>
      </c>
      <c r="E66" s="15">
        <f t="shared" si="4"/>
        <v>11.681999999999974</v>
      </c>
      <c r="F66" s="15">
        <f t="shared" si="5"/>
        <v>1.5624000000000025</v>
      </c>
      <c r="G66" s="15">
        <f t="shared" si="6"/>
        <v>0.98208000000000317</v>
      </c>
      <c r="H66" s="15">
        <f t="shared" si="7"/>
        <v>0.36455999999999888</v>
      </c>
      <c r="I66" s="16">
        <f t="shared" si="8"/>
        <v>0.13392000000000009</v>
      </c>
    </row>
    <row r="67" spans="1:9" x14ac:dyDescent="0.2">
      <c r="A67" s="12">
        <v>2090</v>
      </c>
      <c r="B67" s="15">
        <f t="shared" si="1"/>
        <v>153.198266666667</v>
      </c>
      <c r="C67" s="15">
        <f t="shared" si="2"/>
        <v>134.22859999999989</v>
      </c>
      <c r="D67" s="15">
        <f t="shared" si="3"/>
        <v>7.9767999999999937</v>
      </c>
      <c r="E67" s="15">
        <f t="shared" si="4"/>
        <v>11.357499999999973</v>
      </c>
      <c r="F67" s="15">
        <f t="shared" si="5"/>
        <v>1.5540000000000025</v>
      </c>
      <c r="G67" s="15">
        <f t="shared" si="6"/>
        <v>0.97680000000000322</v>
      </c>
      <c r="H67" s="15">
        <f t="shared" si="7"/>
        <v>0.36259999999999887</v>
      </c>
      <c r="I67" s="16">
        <f t="shared" si="8"/>
        <v>0.1332000000000001</v>
      </c>
    </row>
    <row r="68" spans="1:9" x14ac:dyDescent="0.2">
      <c r="A68" s="12">
        <v>2091</v>
      </c>
      <c r="B68" s="15">
        <f t="shared" ref="B68:B77" si="9">B67-$N$2</f>
        <v>142.21424000000033</v>
      </c>
      <c r="C68" s="15">
        <f t="shared" ref="C68:C77" si="10">C67-$N$3</f>
        <v>133.50303999999988</v>
      </c>
      <c r="D68" s="15">
        <f t="shared" ref="D68:D77" si="11">D67-$N$4</f>
        <v>7.7875199999999936</v>
      </c>
      <c r="E68" s="15">
        <f t="shared" ref="E68:E77" si="12">E67-$N$5</f>
        <v>11.032999999999973</v>
      </c>
      <c r="F68" s="15">
        <f t="shared" ref="F68:F77" si="13">F67-$N$6</f>
        <v>1.5456000000000025</v>
      </c>
      <c r="G68" s="15">
        <f t="shared" ref="G68:G77" si="14">G67-$N$7</f>
        <v>0.97152000000000327</v>
      </c>
      <c r="H68" s="15">
        <f t="shared" ref="H68:H77" si="15">H67-$N$8</f>
        <v>0.36063999999999885</v>
      </c>
      <c r="I68" s="16">
        <f t="shared" ref="I68:I77" si="16">I67-$N$9</f>
        <v>0.1324800000000001</v>
      </c>
    </row>
    <row r="69" spans="1:9" x14ac:dyDescent="0.2">
      <c r="A69" s="12">
        <v>2092</v>
      </c>
      <c r="B69" s="15">
        <f t="shared" si="9"/>
        <v>131.23021333333367</v>
      </c>
      <c r="C69" s="15">
        <f t="shared" si="10"/>
        <v>132.77747999999988</v>
      </c>
      <c r="D69" s="15">
        <f t="shared" si="11"/>
        <v>7.5982399999999934</v>
      </c>
      <c r="E69" s="15">
        <f t="shared" si="12"/>
        <v>10.708499999999972</v>
      </c>
      <c r="F69" s="15">
        <f t="shared" si="13"/>
        <v>1.5372000000000026</v>
      </c>
      <c r="G69" s="15">
        <f t="shared" si="14"/>
        <v>0.96624000000000332</v>
      </c>
      <c r="H69" s="15">
        <f t="shared" si="15"/>
        <v>0.35867999999999883</v>
      </c>
      <c r="I69" s="16">
        <f t="shared" si="16"/>
        <v>0.1317600000000001</v>
      </c>
    </row>
    <row r="70" spans="1:9" x14ac:dyDescent="0.2">
      <c r="A70" s="12">
        <v>2093</v>
      </c>
      <c r="B70" s="15">
        <f t="shared" si="9"/>
        <v>120.246186666667</v>
      </c>
      <c r="C70" s="15">
        <f t="shared" si="10"/>
        <v>132.05191999999988</v>
      </c>
      <c r="D70" s="15">
        <f t="shared" si="11"/>
        <v>7.4089599999999933</v>
      </c>
      <c r="E70" s="15">
        <f t="shared" si="12"/>
        <v>10.383999999999972</v>
      </c>
      <c r="F70" s="15">
        <f t="shared" si="13"/>
        <v>1.5288000000000026</v>
      </c>
      <c r="G70" s="15">
        <f t="shared" si="14"/>
        <v>0.96096000000000337</v>
      </c>
      <c r="H70" s="15">
        <f t="shared" si="15"/>
        <v>0.35671999999999882</v>
      </c>
      <c r="I70" s="16">
        <f t="shared" si="16"/>
        <v>0.1310400000000001</v>
      </c>
    </row>
    <row r="71" spans="1:9" x14ac:dyDescent="0.2">
      <c r="A71" s="12">
        <v>2094</v>
      </c>
      <c r="B71" s="15">
        <f t="shared" si="9"/>
        <v>109.26216000000034</v>
      </c>
      <c r="C71" s="15">
        <f t="shared" si="10"/>
        <v>131.32635999999988</v>
      </c>
      <c r="D71" s="15">
        <f t="shared" si="11"/>
        <v>7.2196799999999932</v>
      </c>
      <c r="E71" s="15">
        <f t="shared" si="12"/>
        <v>10.059499999999971</v>
      </c>
      <c r="F71" s="15">
        <f t="shared" si="13"/>
        <v>1.5204000000000026</v>
      </c>
      <c r="G71" s="15">
        <f t="shared" si="14"/>
        <v>0.95568000000000342</v>
      </c>
      <c r="H71" s="15">
        <f t="shared" si="15"/>
        <v>0.3547599999999988</v>
      </c>
      <c r="I71" s="16">
        <f t="shared" si="16"/>
        <v>0.1303200000000001</v>
      </c>
    </row>
    <row r="72" spans="1:9" x14ac:dyDescent="0.2">
      <c r="A72" s="12">
        <v>2095</v>
      </c>
      <c r="B72" s="15">
        <f t="shared" si="9"/>
        <v>98.27813333333367</v>
      </c>
      <c r="C72" s="15">
        <f t="shared" si="10"/>
        <v>130.60079999999988</v>
      </c>
      <c r="D72" s="15">
        <f t="shared" si="11"/>
        <v>7.0303999999999931</v>
      </c>
      <c r="E72" s="15">
        <f t="shared" si="12"/>
        <v>9.734999999999971</v>
      </c>
      <c r="F72" s="15">
        <f t="shared" si="13"/>
        <v>1.5120000000000027</v>
      </c>
      <c r="G72" s="15">
        <f t="shared" si="14"/>
        <v>0.95040000000000346</v>
      </c>
      <c r="H72" s="15">
        <f t="shared" si="15"/>
        <v>0.35279999999999878</v>
      </c>
      <c r="I72" s="16">
        <f t="shared" si="16"/>
        <v>0.1296000000000001</v>
      </c>
    </row>
    <row r="73" spans="1:9" x14ac:dyDescent="0.2">
      <c r="A73" s="12">
        <v>2096</v>
      </c>
      <c r="B73" s="15">
        <f t="shared" si="9"/>
        <v>87.294106666667005</v>
      </c>
      <c r="C73" s="15">
        <f t="shared" si="10"/>
        <v>129.87523999999988</v>
      </c>
      <c r="D73" s="15">
        <f t="shared" si="11"/>
        <v>6.841119999999993</v>
      </c>
      <c r="E73" s="15">
        <f t="shared" si="12"/>
        <v>9.4104999999999706</v>
      </c>
      <c r="F73" s="15">
        <f t="shared" si="13"/>
        <v>1.5036000000000027</v>
      </c>
      <c r="G73" s="15">
        <f t="shared" si="14"/>
        <v>0.94512000000000351</v>
      </c>
      <c r="H73" s="15">
        <f t="shared" si="15"/>
        <v>0.35083999999999876</v>
      </c>
      <c r="I73" s="16">
        <f t="shared" si="16"/>
        <v>0.12888000000000011</v>
      </c>
    </row>
    <row r="74" spans="1:9" x14ac:dyDescent="0.2">
      <c r="A74" s="12">
        <v>2097</v>
      </c>
      <c r="B74" s="15">
        <f t="shared" si="9"/>
        <v>76.31008000000034</v>
      </c>
      <c r="C74" s="15">
        <f t="shared" si="10"/>
        <v>129.14967999999988</v>
      </c>
      <c r="D74" s="15">
        <f t="shared" si="11"/>
        <v>6.6518399999999929</v>
      </c>
      <c r="E74" s="15">
        <f t="shared" si="12"/>
        <v>9.0859999999999701</v>
      </c>
      <c r="F74" s="15">
        <f t="shared" si="13"/>
        <v>1.4952000000000027</v>
      </c>
      <c r="G74" s="15">
        <f t="shared" si="14"/>
        <v>0.93984000000000356</v>
      </c>
      <c r="H74" s="15">
        <f t="shared" si="15"/>
        <v>0.34887999999999875</v>
      </c>
      <c r="I74" s="16">
        <f t="shared" si="16"/>
        <v>0.12816000000000011</v>
      </c>
    </row>
    <row r="75" spans="1:9" x14ac:dyDescent="0.2">
      <c r="A75" s="12">
        <v>2098</v>
      </c>
      <c r="B75" s="15">
        <f t="shared" si="9"/>
        <v>65.326053333333675</v>
      </c>
      <c r="C75" s="15">
        <f t="shared" si="10"/>
        <v>128.42411999999987</v>
      </c>
      <c r="D75" s="15">
        <f t="shared" si="11"/>
        <v>6.4625599999999928</v>
      </c>
      <c r="E75" s="15">
        <f t="shared" si="12"/>
        <v>8.7614999999999696</v>
      </c>
      <c r="F75" s="15">
        <f t="shared" si="13"/>
        <v>1.4868000000000028</v>
      </c>
      <c r="G75" s="15">
        <f t="shared" si="14"/>
        <v>0.93456000000000361</v>
      </c>
      <c r="H75" s="15">
        <f t="shared" si="15"/>
        <v>0.34691999999999873</v>
      </c>
      <c r="I75" s="16">
        <f t="shared" si="16"/>
        <v>0.12744000000000011</v>
      </c>
    </row>
    <row r="76" spans="1:9" x14ac:dyDescent="0.2">
      <c r="A76" s="12">
        <v>2099</v>
      </c>
      <c r="B76" s="15">
        <f t="shared" si="9"/>
        <v>54.34202666666701</v>
      </c>
      <c r="C76" s="15">
        <f t="shared" si="10"/>
        <v>127.69855999999987</v>
      </c>
      <c r="D76" s="15">
        <f t="shared" si="11"/>
        <v>6.2732799999999926</v>
      </c>
      <c r="E76" s="15">
        <f t="shared" si="12"/>
        <v>8.4369999999999692</v>
      </c>
      <c r="F76" s="15">
        <f t="shared" si="13"/>
        <v>1.4784000000000028</v>
      </c>
      <c r="G76" s="15">
        <f t="shared" si="14"/>
        <v>0.92928000000000366</v>
      </c>
      <c r="H76" s="15">
        <f t="shared" si="15"/>
        <v>0.34495999999999871</v>
      </c>
      <c r="I76" s="16">
        <f t="shared" si="16"/>
        <v>0.12672000000000011</v>
      </c>
    </row>
    <row r="77" spans="1:9" x14ac:dyDescent="0.2">
      <c r="A77" s="17">
        <v>2100</v>
      </c>
      <c r="B77" s="18">
        <f t="shared" si="9"/>
        <v>43.358000000000345</v>
      </c>
      <c r="C77" s="18">
        <f t="shared" si="10"/>
        <v>126.97299999999987</v>
      </c>
      <c r="D77" s="18">
        <f t="shared" si="11"/>
        <v>6.0839999999999925</v>
      </c>
      <c r="E77" s="18">
        <f t="shared" si="12"/>
        <v>8.1124999999999687</v>
      </c>
      <c r="F77" s="18">
        <f t="shared" si="13"/>
        <v>1.4700000000000029</v>
      </c>
      <c r="G77" s="18">
        <f t="shared" si="14"/>
        <v>0.92400000000000371</v>
      </c>
      <c r="H77" s="18">
        <f t="shared" si="15"/>
        <v>0.34299999999999869</v>
      </c>
      <c r="I77" s="19">
        <f t="shared" si="16"/>
        <v>0.12600000000000011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Marita Leirdal</dc:creator>
  <cp:lastModifiedBy>Marita Leirdal</cp:lastModifiedBy>
  <dcterms:created xsi:type="dcterms:W3CDTF">2026-04-13T16:18:06Z</dcterms:created>
  <dcterms:modified xsi:type="dcterms:W3CDTF">2026-04-13T16:40:40Z</dcterms:modified>
</cp:coreProperties>
</file>