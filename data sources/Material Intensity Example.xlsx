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ta/Documents/GitHub/MFA2/"/>
    </mc:Choice>
  </mc:AlternateContent>
  <xr:revisionPtr revIDLastSave="0" documentId="8_{F3A0D5E7-D66A-0D4D-8C7F-B4C41EB459DB}" xr6:coauthVersionLast="47" xr6:coauthVersionMax="47" xr10:uidLastSave="{00000000-0000-0000-0000-000000000000}"/>
  <bookViews>
    <workbookView xWindow="0" yWindow="0" windowWidth="28800" windowHeight="18000" xr2:uid="{2DCB51B5-C94B-C249-8313-EAA3E1E4054A}"/>
  </bookViews>
  <sheets>
    <sheet name="Ar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E16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B16" i="1"/>
  <c r="D4" i="1"/>
  <c r="D5" i="1"/>
  <c r="D6" i="1"/>
  <c r="D7" i="1"/>
  <c r="D9" i="1"/>
  <c r="D10" i="1"/>
  <c r="D11" i="1"/>
  <c r="D12" i="1"/>
  <c r="D13" i="1"/>
  <c r="D14" i="1"/>
  <c r="D15" i="1"/>
  <c r="D3" i="1"/>
  <c r="B8" i="1"/>
  <c r="D8" i="1" s="1"/>
  <c r="B2" i="1"/>
  <c r="D2" i="1" s="1"/>
</calcChain>
</file>

<file path=xl/sharedStrings.xml><?xml version="1.0" encoding="utf-8"?>
<sst xmlns="http://schemas.openxmlformats.org/spreadsheetml/2006/main" count="50" uniqueCount="32">
  <si>
    <t>Flow</t>
  </si>
  <si>
    <t>Mediterranean dwelling</t>
  </si>
  <si>
    <t>Units</t>
  </si>
  <si>
    <t>Category</t>
  </si>
  <si>
    <t>Concrete</t>
  </si>
  <si>
    <r>
      <t>m</t>
    </r>
    <r>
      <rPr>
        <sz val="11"/>
        <color rgb="FF1F1F1F"/>
        <rFont val="Georgia"/>
        <family val="1"/>
      </rPr>
      <t>3</t>
    </r>
  </si>
  <si>
    <t>Mortar</t>
  </si>
  <si>
    <t>kg</t>
  </si>
  <si>
    <t>Masonry</t>
  </si>
  <si>
    <t>Brick</t>
  </si>
  <si>
    <t>Steel</t>
  </si>
  <si>
    <t>Metals</t>
  </si>
  <si>
    <t>Ceramic tiles</t>
  </si>
  <si>
    <t>Covering</t>
  </si>
  <si>
    <t>PVC</t>
  </si>
  <si>
    <t>Pipes, wiring</t>
  </si>
  <si>
    <t>Timber</t>
  </si>
  <si>
    <t>Covering/roofing/internal and external use</t>
  </si>
  <si>
    <t>Roof tile</t>
  </si>
  <si>
    <t>Covering/roofing</t>
  </si>
  <si>
    <t>Fiber cement roof slate</t>
  </si>
  <si>
    <t>Gypsum plaster board</t>
  </si>
  <si>
    <t>Glass</t>
  </si>
  <si>
    <t>Aluminum</t>
  </si>
  <si>
    <t>Polystyrene</t>
  </si>
  <si>
    <t>Covering (insulation)</t>
  </si>
  <si>
    <t>Alkyd paint</t>
  </si>
  <si>
    <t>Painting</t>
  </si>
  <si>
    <t>useful floor area</t>
  </si>
  <si>
    <t>kg/m2</t>
  </si>
  <si>
    <t>percentage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</si>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</sst>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4"/>
      <color rgb="FF1F1F1F"/>
      <name val="Georgia"/>
      <family val="1"/>
    </font>
    <font>
      <sz val="14"/>
      <color rgb="FF1F1F1F"/>
      <name val="Georgia"/>
      <family val="1"/>
    </font>
    <font>
      <sz val="11"/>
      <color rgb="FF1F1F1F"/>
      <name val="Georg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8">
    <dxf>
      <numFmt numFmtId="14" formatCode="0.00\ 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eorgia"/>
        <family val="1"/>
        <scheme val="none"/>
      </font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eorg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1F1F1F"/>
        <name val="Georg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6849607-8C1B-1049-9EED-C8A3B19B6DF4}" name="Tabell1" displayName="Tabell1" ref="A1:F15" totalsRowShown="0" headerRowDxfId="3" dataDxfId="4">
  <autoFilter ref="A1:F15" xr:uid="{56849607-8C1B-1049-9EED-C8A3B19B6DF4}"/>
  <tableColumns count="6">
    <tableColumn id="1" xr3:uid="{0770AF06-349D-3840-AFCA-24079DB9712A}" name="Flow" dataDxfId="7"/>
    <tableColumn id="2" xr3:uid="{6E7D7559-4B38-9A4C-8D87-32392075179A}" name="Mediterranean dwelling" dataDxfId="6"/>
    <tableColumn id="3" xr3:uid="{BF9E7EF5-88A0-F645-A852-DA379D54F722}" name="Units" dataDxfId="5"/>
    <tableColumn id="4" xr3:uid="{35066888-A574-6D43-8606-24E01E4EBE65}" name="kg/m2" dataDxfId="2">
      <calculatedColumnFormula>B2/$B$19</calculatedColumnFormula>
    </tableColumn>
    <tableColumn id="5" xr3:uid="{8B95C25A-58D7-7D45-8827-C86B742F6103}" name="percentage" dataDxfId="0">
      <calculatedColumnFormula>Tabell1[[#This Row],[Mediterranean dwelling]]/$B$16</calculatedColumnFormula>
    </tableColumn>
    <tableColumn id="6" xr3:uid="{A27CA6CA-E52F-3742-83AF-53711161A470}" name="Category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0E7FB-B01B-8248-8AE0-2B5A0C733349}">
  <dimension ref="A1:F19"/>
  <sheetViews>
    <sheetView tabSelected="1" workbookViewId="0">
      <selection activeCell="E24" sqref="E24"/>
    </sheetView>
  </sheetViews>
  <sheetFormatPr baseColWidth="10" defaultRowHeight="16" x14ac:dyDescent="0.2"/>
  <cols>
    <col min="1" max="1" width="28.6640625" customWidth="1"/>
    <col min="2" max="2" width="32.5" customWidth="1"/>
    <col min="3" max="3" width="10.1640625" customWidth="1"/>
    <col min="4" max="4" width="11.33203125" customWidth="1"/>
    <col min="5" max="5" width="17.1640625" customWidth="1"/>
    <col min="6" max="6" width="20.6640625" customWidth="1"/>
  </cols>
  <sheetData>
    <row r="1" spans="1:6" ht="18" x14ac:dyDescent="0.2">
      <c r="A1" s="1" t="s">
        <v>0</v>
      </c>
      <c r="B1" s="1" t="s">
        <v>1</v>
      </c>
      <c r="C1" s="1" t="s">
        <v>2</v>
      </c>
      <c r="D1" s="1" t="s">
        <v>29</v>
      </c>
      <c r="E1" s="1" t="s">
        <v>30</v>
      </c>
      <c r="F1" s="1" t="s">
        <v>3</v>
      </c>
    </row>
    <row r="2" spans="1:6" ht="18" x14ac:dyDescent="0.2">
      <c r="A2" s="2" t="s">
        <v>4</v>
      </c>
      <c r="B2" s="2">
        <f>45*2400</f>
        <v>108000</v>
      </c>
      <c r="C2" s="2" t="s">
        <v>7</v>
      </c>
      <c r="D2" s="3">
        <f>B2/$B$19</f>
        <v>746.88796680497933</v>
      </c>
      <c r="E2" s="4">
        <f>Tabell1[[#This Row],[Mediterranean dwelling]]/$B$16</f>
        <v>0.72327402039900612</v>
      </c>
      <c r="F2" s="2" t="s">
        <v>4</v>
      </c>
    </row>
    <row r="3" spans="1:6" ht="18" x14ac:dyDescent="0.2">
      <c r="A3" s="2" t="s">
        <v>6</v>
      </c>
      <c r="B3" s="2">
        <v>3200</v>
      </c>
      <c r="C3" s="2" t="s">
        <v>7</v>
      </c>
      <c r="D3" s="3">
        <f>B3/$B$19</f>
        <v>22.130013831258644</v>
      </c>
      <c r="E3" s="4">
        <f>Tabell1[[#This Row],[Mediterranean dwelling]]/$B$16</f>
        <v>2.1430341345155739E-2</v>
      </c>
      <c r="F3" s="2" t="s">
        <v>8</v>
      </c>
    </row>
    <row r="4" spans="1:6" ht="18" x14ac:dyDescent="0.2">
      <c r="A4" s="2" t="s">
        <v>9</v>
      </c>
      <c r="B4" s="2">
        <v>22550</v>
      </c>
      <c r="C4" s="2" t="s">
        <v>7</v>
      </c>
      <c r="D4" s="3">
        <f>B4/$B$19</f>
        <v>155.94744121715075</v>
      </c>
      <c r="E4" s="4">
        <f>Tabell1[[#This Row],[Mediterranean dwelling]]/$B$16</f>
        <v>0.15101693666664434</v>
      </c>
      <c r="F4" s="2" t="s">
        <v>8</v>
      </c>
    </row>
    <row r="5" spans="1:6" ht="18" x14ac:dyDescent="0.2">
      <c r="A5" s="2" t="s">
        <v>10</v>
      </c>
      <c r="B5" s="2">
        <v>3500</v>
      </c>
      <c r="C5" s="2" t="s">
        <v>7</v>
      </c>
      <c r="D5" s="3">
        <f>B5/$B$19</f>
        <v>24.204702627939142</v>
      </c>
      <c r="E5" s="4">
        <f>Tabell1[[#This Row],[Mediterranean dwelling]]/$B$16</f>
        <v>2.3439435846264088E-2</v>
      </c>
      <c r="F5" s="2" t="s">
        <v>11</v>
      </c>
    </row>
    <row r="6" spans="1:6" ht="18" x14ac:dyDescent="0.2">
      <c r="A6" s="2" t="s">
        <v>12</v>
      </c>
      <c r="B6" s="2">
        <v>2910</v>
      </c>
      <c r="C6" s="2" t="s">
        <v>7</v>
      </c>
      <c r="D6" s="3">
        <f>B6/$B$19</f>
        <v>20.124481327800829</v>
      </c>
      <c r="E6" s="4">
        <f>Tabell1[[#This Row],[Mediterranean dwelling]]/$B$16</f>
        <v>1.9488216660750998E-2</v>
      </c>
      <c r="F6" s="2" t="s">
        <v>13</v>
      </c>
    </row>
    <row r="7" spans="1:6" ht="18" x14ac:dyDescent="0.2">
      <c r="A7" s="2" t="s">
        <v>14</v>
      </c>
      <c r="B7" s="2">
        <v>90</v>
      </c>
      <c r="C7" s="2" t="s">
        <v>7</v>
      </c>
      <c r="D7" s="3">
        <f>B7/$B$19</f>
        <v>0.62240663900414939</v>
      </c>
      <c r="E7" s="4">
        <f>Tabell1[[#This Row],[Mediterranean dwelling]]/$B$16</f>
        <v>6.0272835033250516E-4</v>
      </c>
      <c r="F7" s="2" t="s">
        <v>15</v>
      </c>
    </row>
    <row r="8" spans="1:6" ht="18" x14ac:dyDescent="0.2">
      <c r="A8" s="2" t="s">
        <v>16</v>
      </c>
      <c r="B8" s="2">
        <f>4.5*500</f>
        <v>2250</v>
      </c>
      <c r="C8" s="2" t="s">
        <v>5</v>
      </c>
      <c r="D8" s="3">
        <f>B8/$B$19</f>
        <v>15.560165975103734</v>
      </c>
      <c r="E8" s="4">
        <f>Tabell1[[#This Row],[Mediterranean dwelling]]/$B$16</f>
        <v>1.5068208758312629E-2</v>
      </c>
      <c r="F8" s="2" t="s">
        <v>17</v>
      </c>
    </row>
    <row r="9" spans="1:6" ht="18" x14ac:dyDescent="0.2">
      <c r="A9" s="2" t="s">
        <v>18</v>
      </c>
      <c r="B9" s="2">
        <v>4180</v>
      </c>
      <c r="C9" s="2" t="s">
        <v>7</v>
      </c>
      <c r="D9" s="3">
        <f>B9/$B$19</f>
        <v>28.907330567081605</v>
      </c>
      <c r="E9" s="4">
        <f>Tabell1[[#This Row],[Mediterranean dwelling]]/$B$16</f>
        <v>2.7993383382109684E-2</v>
      </c>
      <c r="F9" s="2" t="s">
        <v>19</v>
      </c>
    </row>
    <row r="10" spans="1:6" ht="18" x14ac:dyDescent="0.2">
      <c r="A10" s="2" t="s">
        <v>20</v>
      </c>
      <c r="B10" s="2">
        <v>400</v>
      </c>
      <c r="C10" s="2" t="s">
        <v>7</v>
      </c>
      <c r="D10" s="3">
        <f>B10/$B$19</f>
        <v>2.7662517289073305</v>
      </c>
      <c r="E10" s="4">
        <f>Tabell1[[#This Row],[Mediterranean dwelling]]/$B$16</f>
        <v>2.6787926681444674E-3</v>
      </c>
      <c r="F10" s="2" t="s">
        <v>13</v>
      </c>
    </row>
    <row r="11" spans="1:6" ht="18" x14ac:dyDescent="0.2">
      <c r="A11" s="2" t="s">
        <v>21</v>
      </c>
      <c r="B11" s="2">
        <v>1693</v>
      </c>
      <c r="C11" s="2" t="s">
        <v>7</v>
      </c>
      <c r="D11" s="3">
        <f>B11/$B$19</f>
        <v>11.708160442600278</v>
      </c>
      <c r="E11" s="4">
        <f>Tabell1[[#This Row],[Mediterranean dwelling]]/$B$16</f>
        <v>1.1337989967921458E-2</v>
      </c>
      <c r="F11" s="2" t="s">
        <v>13</v>
      </c>
    </row>
    <row r="12" spans="1:6" ht="18" x14ac:dyDescent="0.2">
      <c r="A12" s="2" t="s">
        <v>22</v>
      </c>
      <c r="B12" s="2">
        <v>215</v>
      </c>
      <c r="C12" s="2" t="s">
        <v>7</v>
      </c>
      <c r="D12" s="3">
        <f>B12/$B$19</f>
        <v>1.4868603042876902</v>
      </c>
      <c r="E12" s="4">
        <f>Tabell1[[#This Row],[Mediterranean dwelling]]/$B$16</f>
        <v>1.4398510591276511E-3</v>
      </c>
      <c r="F12" s="2" t="s">
        <v>13</v>
      </c>
    </row>
    <row r="13" spans="1:6" ht="18" x14ac:dyDescent="0.2">
      <c r="A13" s="2" t="s">
        <v>23</v>
      </c>
      <c r="B13" s="2">
        <v>75</v>
      </c>
      <c r="C13" s="2" t="s">
        <v>7</v>
      </c>
      <c r="D13" s="3">
        <f>B13/$B$19</f>
        <v>0.51867219917012453</v>
      </c>
      <c r="E13" s="4">
        <f>Tabell1[[#This Row],[Mediterranean dwelling]]/$B$16</f>
        <v>5.0227362527708761E-4</v>
      </c>
      <c r="F13" s="2" t="s">
        <v>13</v>
      </c>
    </row>
    <row r="14" spans="1:6" ht="18" x14ac:dyDescent="0.2">
      <c r="A14" s="2" t="s">
        <v>24</v>
      </c>
      <c r="B14" s="2">
        <v>230</v>
      </c>
      <c r="C14" s="2" t="s">
        <v>7</v>
      </c>
      <c r="D14" s="3">
        <f>B14/$B$19</f>
        <v>1.5905947441217152</v>
      </c>
      <c r="E14" s="4">
        <f>Tabell1[[#This Row],[Mediterranean dwelling]]/$B$16</f>
        <v>1.5403057841830686E-3</v>
      </c>
      <c r="F14" s="2" t="s">
        <v>25</v>
      </c>
    </row>
    <row r="15" spans="1:6" ht="18" x14ac:dyDescent="0.2">
      <c r="A15" s="2" t="s">
        <v>26</v>
      </c>
      <c r="B15" s="2">
        <v>28</v>
      </c>
      <c r="C15" s="2" t="s">
        <v>7</v>
      </c>
      <c r="D15" s="3">
        <f>B15/$B$19</f>
        <v>0.19363762102351315</v>
      </c>
      <c r="E15" s="4">
        <f>Tabell1[[#This Row],[Mediterranean dwelling]]/$B$16</f>
        <v>1.8751548677011271E-4</v>
      </c>
      <c r="F15" s="2" t="s">
        <v>27</v>
      </c>
    </row>
    <row r="16" spans="1:6" ht="18" x14ac:dyDescent="0.2">
      <c r="A16" s="2" t="s">
        <v>31</v>
      </c>
      <c r="B16">
        <f>SUM(Tabell1[Mediterranean dwelling])</f>
        <v>149321</v>
      </c>
      <c r="D16" s="3">
        <f>SUM(Tabell1[kg/m2])</f>
        <v>1032.6486860304292</v>
      </c>
      <c r="E16" s="4">
        <f>SUM(Tabell1[percentage])</f>
        <v>0.99999999999999989</v>
      </c>
    </row>
    <row r="19" spans="1:2" ht="18" x14ac:dyDescent="0.2">
      <c r="A19" s="2" t="s">
        <v>28</v>
      </c>
      <c r="B19" s="2">
        <v>144.6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Marita Leirdal</dc:creator>
  <cp:lastModifiedBy>Marita Leirdal</cp:lastModifiedBy>
  <dcterms:created xsi:type="dcterms:W3CDTF">2026-03-17T18:31:39Z</dcterms:created>
  <dcterms:modified xsi:type="dcterms:W3CDTF">2026-03-17T18:38:39Z</dcterms:modified>
</cp:coreProperties>
</file>