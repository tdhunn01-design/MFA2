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ta/Documents/GitHub/MFA2/"/>
    </mc:Choice>
  </mc:AlternateContent>
  <xr:revisionPtr revIDLastSave="0" documentId="8_{C6693C54-9122-004C-88EB-EF3B688CDD6B}" xr6:coauthVersionLast="47" xr6:coauthVersionMax="47" xr10:uidLastSave="{00000000-0000-0000-0000-000000000000}"/>
  <bookViews>
    <workbookView xWindow="0" yWindow="500" windowWidth="28800" windowHeight="16200" xr2:uid="{00000000-000D-0000-FFFF-FFFF00000000}"/>
  </bookViews>
  <sheets>
    <sheet name="tabla-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1" l="1"/>
  <c r="G34" i="1"/>
  <c r="G35" i="1"/>
  <c r="G36" i="1"/>
  <c r="G37" i="1"/>
  <c r="G38" i="1"/>
  <c r="G39" i="1"/>
  <c r="G40" i="1"/>
  <c r="G41" i="1"/>
  <c r="G33" i="1"/>
  <c r="G32" i="1"/>
  <c r="E42" i="1"/>
  <c r="E34" i="1"/>
  <c r="E35" i="1"/>
  <c r="E36" i="1"/>
  <c r="E37" i="1"/>
  <c r="E38" i="1"/>
  <c r="E39" i="1"/>
  <c r="E40" i="1"/>
  <c r="E41" i="1"/>
  <c r="E33" i="1"/>
  <c r="E32" i="1"/>
  <c r="C41" i="1"/>
  <c r="C42" i="1" s="1"/>
  <c r="C40" i="1"/>
  <c r="C39" i="1"/>
  <c r="C38" i="1"/>
  <c r="C37" i="1"/>
  <c r="C36" i="1"/>
  <c r="C35" i="1"/>
  <c r="C34" i="1"/>
  <c r="C33" i="1"/>
  <c r="C32" i="1"/>
  <c r="G30" i="1"/>
  <c r="G21" i="1"/>
  <c r="G22" i="1"/>
  <c r="G23" i="1"/>
  <c r="G24" i="1"/>
  <c r="G25" i="1"/>
  <c r="G26" i="1"/>
  <c r="G27" i="1"/>
  <c r="G28" i="1"/>
  <c r="G29" i="1"/>
  <c r="G20" i="1"/>
  <c r="E30" i="1"/>
  <c r="E22" i="1"/>
  <c r="E23" i="1"/>
  <c r="E24" i="1"/>
  <c r="E25" i="1"/>
  <c r="E26" i="1"/>
  <c r="E27" i="1"/>
  <c r="E28" i="1"/>
  <c r="E29" i="1"/>
  <c r="E21" i="1"/>
  <c r="E20" i="1"/>
  <c r="C30" i="1"/>
  <c r="C22" i="1"/>
  <c r="C23" i="1"/>
  <c r="C24" i="1"/>
  <c r="C25" i="1"/>
  <c r="C26" i="1"/>
  <c r="C27" i="1"/>
  <c r="C28" i="1"/>
  <c r="C29" i="1"/>
  <c r="C21" i="1"/>
  <c r="C20" i="1"/>
  <c r="F25" i="1"/>
  <c r="F22" i="1"/>
  <c r="F23" i="1"/>
  <c r="F24" i="1"/>
  <c r="F26" i="1"/>
  <c r="F27" i="1"/>
  <c r="F28" i="1"/>
  <c r="F29" i="1"/>
  <c r="F21" i="1"/>
  <c r="F20" i="1"/>
  <c r="D29" i="1"/>
  <c r="D22" i="1"/>
  <c r="D23" i="1"/>
  <c r="D24" i="1"/>
  <c r="D25" i="1"/>
  <c r="D26" i="1"/>
  <c r="D27" i="1"/>
  <c r="D28" i="1"/>
  <c r="D21" i="1"/>
  <c r="D20" i="1"/>
  <c r="B22" i="1"/>
  <c r="B23" i="1"/>
  <c r="B24" i="1"/>
  <c r="B25" i="1"/>
  <c r="B26" i="1"/>
  <c r="B27" i="1"/>
  <c r="B28" i="1"/>
  <c r="B29" i="1"/>
  <c r="B21" i="1"/>
  <c r="B20" i="1"/>
  <c r="F19" i="1"/>
  <c r="D19" i="1"/>
  <c r="B19" i="1"/>
</calcChain>
</file>

<file path=xl/sharedStrings.xml><?xml version="1.0" encoding="utf-8"?>
<sst xmlns="http://schemas.openxmlformats.org/spreadsheetml/2006/main" count="47" uniqueCount="29">
  <si>
    <t>Continuous Household Survey (CHS). Provisional data 2013</t>
  </si>
  <si>
    <t/>
  </si>
  <si>
    <t>Number of main dwellings by usable floor area and type of building</t>
  </si>
  <si>
    <t>Units: thousand dwellings</t>
  </si>
  <si>
    <t xml:space="preserve"> </t>
  </si>
  <si>
    <t>Total</t>
  </si>
  <si>
    <t>Single-family isolated dwelling</t>
  </si>
  <si>
    <t>Single-family terraced or semidetached dwelling</t>
  </si>
  <si>
    <t>Two-dwelling buildings</t>
  </si>
  <si>
    <t>Buildings having between 3 and less than 10 dwellings</t>
  </si>
  <si>
    <t>Buildings having 10 or more dwellings</t>
  </si>
  <si>
    <t>Less than 30 m2</t>
  </si>
  <si>
    <t>Between 30 and 45 m2</t>
  </si>
  <si>
    <t>Between 46 and 60 m2</t>
  </si>
  <si>
    <t>Between 61 and 75 m2</t>
  </si>
  <si>
    <t>Between 76 and 90 m2</t>
  </si>
  <si>
    <t>Between 91 and 105 m2</t>
  </si>
  <si>
    <t>Between 106 and 120 m2</t>
  </si>
  <si>
    <t>Between 121 and 150 m2</t>
  </si>
  <si>
    <t>Between 151 and 180 m2</t>
  </si>
  <si>
    <t>More than 180 m2</t>
  </si>
  <si>
    <t>detached</t>
  </si>
  <si>
    <t>semi-detached</t>
  </si>
  <si>
    <t>apartments</t>
  </si>
  <si>
    <t>fraction</t>
  </si>
  <si>
    <t>Weighted area</t>
  </si>
  <si>
    <t>SUM = AVG AREA</t>
  </si>
  <si>
    <t>source:</t>
  </si>
  <si>
    <t>https://www.ine.es/jaxi/Tabla.htm?path=/t20/p274/a2013/p03/l1/&amp;file=01007.px&amp;L=1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</si>
</sst>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7" formatCode="0.0"/>
  </numFmts>
  <fonts count="9" x14ac:knownFonts="1">
    <font>
      <sz val="11"/>
      <color indexed="8"/>
      <name val="Aptos Narrow"/>
      <family val="2"/>
      <scheme val="minor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Calibri"/>
      <family val="2"/>
    </font>
    <font>
      <sz val="9"/>
      <color indexed="8"/>
      <name val="Arial"/>
      <family val="2"/>
    </font>
    <font>
      <b/>
      <sz val="11"/>
      <color rgb="FF000000"/>
      <name val="Aptos Narrow"/>
      <scheme val="minor"/>
    </font>
    <font>
      <b/>
      <sz val="11"/>
      <color indexed="8"/>
      <name val="Aptos Narrow"/>
      <scheme val="minor"/>
    </font>
    <font>
      <b/>
      <sz val="16"/>
      <color indexed="8"/>
      <name val="Aptos Narrow"/>
      <scheme val="minor"/>
    </font>
    <font>
      <sz val="16"/>
      <color indexed="8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FFFFFF"/>
      </patternFill>
    </fill>
    <fill>
      <patternFill patternType="solid">
        <fgColor rgb="FFF3F4F7"/>
      </patternFill>
    </fill>
    <fill>
      <patternFill patternType="solid">
        <fgColor rgb="FF89BFBB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theme="0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0"/>
      </right>
      <top style="medium">
        <color theme="1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3" xfId="0" applyFont="1" applyFill="1" applyBorder="1" applyAlignment="1">
      <alignment horizontal="left"/>
    </xf>
    <xf numFmtId="0" fontId="0" fillId="2" borderId="3" xfId="0" applyFill="1" applyBorder="1"/>
    <xf numFmtId="164" fontId="4" fillId="4" borderId="3" xfId="0" applyNumberFormat="1" applyFont="1" applyFill="1" applyBorder="1" applyAlignment="1">
      <alignment horizontal="right"/>
    </xf>
    <xf numFmtId="0" fontId="1" fillId="2" borderId="3" xfId="0" applyFont="1" applyFill="1" applyBorder="1"/>
    <xf numFmtId="0" fontId="3" fillId="3" borderId="3" xfId="0" applyFont="1" applyFill="1" applyBorder="1"/>
    <xf numFmtId="0" fontId="1" fillId="3" borderId="3" xfId="0" applyFont="1" applyFill="1" applyBorder="1"/>
    <xf numFmtId="0" fontId="2" fillId="3" borderId="3" xfId="0" applyFont="1" applyFill="1" applyBorder="1"/>
    <xf numFmtId="0" fontId="2" fillId="2" borderId="2" xfId="0" applyFont="1" applyFill="1" applyBorder="1" applyAlignment="1">
      <alignment horizontal="left"/>
    </xf>
    <xf numFmtId="0" fontId="0" fillId="0" borderId="1" xfId="0" applyBorder="1"/>
    <xf numFmtId="0" fontId="0" fillId="6" borderId="4" xfId="0" applyFill="1" applyBorder="1"/>
    <xf numFmtId="0" fontId="2" fillId="2" borderId="5" xfId="0" applyFont="1" applyFill="1" applyBorder="1" applyAlignment="1">
      <alignment horizontal="left"/>
    </xf>
    <xf numFmtId="0" fontId="0" fillId="6" borderId="6" xfId="0" applyFill="1" applyBorder="1"/>
    <xf numFmtId="164" fontId="0" fillId="6" borderId="4" xfId="0" applyNumberFormat="1" applyFill="1" applyBorder="1"/>
    <xf numFmtId="0" fontId="0" fillId="5" borderId="1" xfId="0" applyFill="1" applyBorder="1"/>
    <xf numFmtId="0" fontId="0" fillId="6" borderId="7" xfId="0" applyFill="1" applyBorder="1"/>
    <xf numFmtId="0" fontId="0" fillId="6" borderId="8" xfId="0" applyFill="1" applyBorder="1"/>
    <xf numFmtId="164" fontId="4" fillId="4" borderId="9" xfId="0" applyNumberFormat="1" applyFont="1" applyFill="1" applyBorder="1" applyAlignment="1">
      <alignment horizontal="right"/>
    </xf>
    <xf numFmtId="0" fontId="5" fillId="5" borderId="1" xfId="0" applyFont="1" applyFill="1" applyBorder="1"/>
    <xf numFmtId="0" fontId="2" fillId="2" borderId="10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5" fillId="5" borderId="4" xfId="0" applyFont="1" applyFill="1" applyBorder="1"/>
    <xf numFmtId="0" fontId="2" fillId="2" borderId="7" xfId="0" applyFont="1" applyFill="1" applyBorder="1" applyAlignment="1">
      <alignment horizontal="left"/>
    </xf>
    <xf numFmtId="0" fontId="0" fillId="5" borderId="7" xfId="0" applyFill="1" applyBorder="1"/>
    <xf numFmtId="164" fontId="4" fillId="4" borderId="4" xfId="0" applyNumberFormat="1" applyFont="1" applyFill="1" applyBorder="1" applyAlignment="1">
      <alignment horizontal="right"/>
    </xf>
    <xf numFmtId="10" fontId="0" fillId="6" borderId="4" xfId="0" applyNumberFormat="1" applyFill="1" applyBorder="1"/>
    <xf numFmtId="164" fontId="4" fillId="4" borderId="2" xfId="0" applyNumberFormat="1" applyFont="1" applyFill="1" applyBorder="1" applyAlignment="1">
      <alignment horizontal="right"/>
    </xf>
    <xf numFmtId="164" fontId="4" fillId="4" borderId="5" xfId="0" applyNumberFormat="1" applyFont="1" applyFill="1" applyBorder="1" applyAlignment="1">
      <alignment horizontal="right"/>
    </xf>
    <xf numFmtId="164" fontId="4" fillId="4" borderId="7" xfId="0" applyNumberFormat="1" applyFont="1" applyFill="1" applyBorder="1" applyAlignment="1">
      <alignment horizontal="right"/>
    </xf>
    <xf numFmtId="0" fontId="3" fillId="3" borderId="9" xfId="0" applyFont="1" applyFill="1" applyBorder="1"/>
    <xf numFmtId="0" fontId="2" fillId="0" borderId="1" xfId="0" applyFont="1" applyFill="1" applyBorder="1" applyAlignment="1">
      <alignment horizontal="left"/>
    </xf>
    <xf numFmtId="164" fontId="4" fillId="0" borderId="1" xfId="0" applyNumberFormat="1" applyFont="1" applyFill="1" applyBorder="1" applyAlignment="1">
      <alignment horizontal="right"/>
    </xf>
    <xf numFmtId="167" fontId="0" fillId="6" borderId="4" xfId="0" applyNumberFormat="1" applyFill="1" applyBorder="1"/>
    <xf numFmtId="167" fontId="0" fillId="6" borderId="7" xfId="0" applyNumberFormat="1" applyFill="1" applyBorder="1"/>
    <xf numFmtId="0" fontId="6" fillId="5" borderId="4" xfId="0" applyFont="1" applyFill="1" applyBorder="1"/>
    <xf numFmtId="167" fontId="0" fillId="6" borderId="8" xfId="0" applyNumberFormat="1" applyFill="1" applyBorder="1"/>
    <xf numFmtId="167" fontId="0" fillId="6" borderId="6" xfId="0" applyNumberFormat="1" applyFill="1" applyBorder="1"/>
    <xf numFmtId="0" fontId="6" fillId="5" borderId="12" xfId="0" applyFont="1" applyFill="1" applyBorder="1"/>
    <xf numFmtId="167" fontId="7" fillId="6" borderId="13" xfId="0" applyNumberFormat="1" applyFont="1" applyFill="1" applyBorder="1"/>
    <xf numFmtId="167" fontId="8" fillId="6" borderId="13" xfId="0" applyNumberFormat="1" applyFont="1" applyFill="1" applyBorder="1"/>
    <xf numFmtId="167" fontId="7" fillId="6" borderId="1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9BF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zoomScale="50" workbookViewId="0">
      <selection activeCell="B54" sqref="B54"/>
    </sheetView>
  </sheetViews>
  <sheetFormatPr baseColWidth="10" defaultColWidth="8.83203125" defaultRowHeight="15" x14ac:dyDescent="0.2"/>
  <cols>
    <col min="1" max="1" width="39" customWidth="1"/>
    <col min="2" max="2" width="19.5" customWidth="1"/>
    <col min="3" max="3" width="29.33203125" customWidth="1"/>
    <col min="4" max="4" width="40.83203125" customWidth="1"/>
    <col min="5" max="5" width="24.1640625" customWidth="1"/>
    <col min="6" max="6" width="46.5" customWidth="1"/>
    <col min="7" max="7" width="32" customWidth="1"/>
    <col min="8" max="8" width="19.5" customWidth="1"/>
  </cols>
  <sheetData>
    <row r="1" spans="1:11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2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2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x14ac:dyDescent="0.2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x14ac:dyDescent="0.2">
      <c r="A5" s="5" t="s">
        <v>1</v>
      </c>
      <c r="B5" s="5"/>
      <c r="C5" s="5"/>
      <c r="D5" s="5"/>
      <c r="E5" s="5"/>
      <c r="F5" s="5"/>
      <c r="G5" s="5"/>
      <c r="H5" s="29"/>
      <c r="I5" s="5"/>
      <c r="J5" s="5"/>
      <c r="K5" s="5"/>
    </row>
    <row r="6" spans="1:11" x14ac:dyDescent="0.2">
      <c r="A6" s="2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8" t="s">
        <v>10</v>
      </c>
      <c r="H6" s="30"/>
    </row>
    <row r="7" spans="1:11" x14ac:dyDescent="0.2">
      <c r="A7" s="1" t="s">
        <v>5</v>
      </c>
      <c r="B7" s="3">
        <v>18217.3</v>
      </c>
      <c r="C7" s="3">
        <v>2862.7</v>
      </c>
      <c r="D7" s="3">
        <v>2985.5</v>
      </c>
      <c r="E7" s="3">
        <v>642.5</v>
      </c>
      <c r="F7" s="3">
        <v>3316.6</v>
      </c>
      <c r="G7" s="26">
        <v>8336.6</v>
      </c>
      <c r="H7" s="31"/>
    </row>
    <row r="8" spans="1:11" x14ac:dyDescent="0.2">
      <c r="A8" s="1" t="s">
        <v>11</v>
      </c>
      <c r="B8" s="3">
        <v>31.1</v>
      </c>
      <c r="C8" s="3">
        <v>3.6</v>
      </c>
      <c r="D8" s="3">
        <v>0.6</v>
      </c>
      <c r="E8" s="3">
        <v>0.6</v>
      </c>
      <c r="F8" s="3">
        <v>4.5</v>
      </c>
      <c r="G8" s="26">
        <v>21.1</v>
      </c>
      <c r="H8" s="31"/>
    </row>
    <row r="9" spans="1:11" x14ac:dyDescent="0.2">
      <c r="A9" s="1" t="s">
        <v>12</v>
      </c>
      <c r="B9" s="3">
        <v>539.1</v>
      </c>
      <c r="C9" s="3">
        <v>35.700000000000003</v>
      </c>
      <c r="D9" s="3">
        <v>42.1</v>
      </c>
      <c r="E9" s="3">
        <v>19.600000000000001</v>
      </c>
      <c r="F9" s="3">
        <v>124.7</v>
      </c>
      <c r="G9" s="26">
        <v>311.2</v>
      </c>
      <c r="H9" s="31"/>
    </row>
    <row r="10" spans="1:11" x14ac:dyDescent="0.2">
      <c r="A10" s="1" t="s">
        <v>13</v>
      </c>
      <c r="B10" s="3">
        <v>1933.4</v>
      </c>
      <c r="C10" s="3">
        <v>131.30000000000001</v>
      </c>
      <c r="D10" s="3">
        <v>137.69999999999999</v>
      </c>
      <c r="E10" s="3">
        <v>61</v>
      </c>
      <c r="F10" s="3">
        <v>485.7</v>
      </c>
      <c r="G10" s="26">
        <v>1111.9000000000001</v>
      </c>
      <c r="H10" s="31"/>
    </row>
    <row r="11" spans="1:11" x14ac:dyDescent="0.2">
      <c r="A11" s="1" t="s">
        <v>14</v>
      </c>
      <c r="B11" s="3">
        <v>3510.2</v>
      </c>
      <c r="C11" s="3">
        <v>192.7</v>
      </c>
      <c r="D11" s="3">
        <v>251.7</v>
      </c>
      <c r="E11" s="3">
        <v>87.6</v>
      </c>
      <c r="F11" s="3">
        <v>813.5</v>
      </c>
      <c r="G11" s="26">
        <v>2150.3000000000002</v>
      </c>
      <c r="H11" s="31"/>
    </row>
    <row r="12" spans="1:11" x14ac:dyDescent="0.2">
      <c r="A12" s="1" t="s">
        <v>15</v>
      </c>
      <c r="B12" s="3">
        <v>4992.2</v>
      </c>
      <c r="C12" s="3">
        <v>452</v>
      </c>
      <c r="D12" s="3">
        <v>626</v>
      </c>
      <c r="E12" s="3">
        <v>167.9</v>
      </c>
      <c r="F12" s="3">
        <v>1016.5</v>
      </c>
      <c r="G12" s="26">
        <v>2711.2</v>
      </c>
      <c r="H12" s="31"/>
    </row>
    <row r="13" spans="1:11" x14ac:dyDescent="0.2">
      <c r="A13" s="1" t="s">
        <v>16</v>
      </c>
      <c r="B13" s="3">
        <v>2340.5</v>
      </c>
      <c r="C13" s="3">
        <v>407</v>
      </c>
      <c r="D13" s="3">
        <v>411.4</v>
      </c>
      <c r="E13" s="3">
        <v>97.1</v>
      </c>
      <c r="F13" s="3">
        <v>388.9</v>
      </c>
      <c r="G13" s="26">
        <v>1028.8</v>
      </c>
      <c r="H13" s="31"/>
    </row>
    <row r="14" spans="1:11" x14ac:dyDescent="0.2">
      <c r="A14" s="1" t="s">
        <v>17</v>
      </c>
      <c r="B14" s="17">
        <v>1686.1</v>
      </c>
      <c r="C14" s="17">
        <v>391.6</v>
      </c>
      <c r="D14" s="17">
        <v>403.8</v>
      </c>
      <c r="E14" s="17">
        <v>74.900000000000006</v>
      </c>
      <c r="F14" s="17">
        <v>242.7</v>
      </c>
      <c r="G14" s="27">
        <v>567.6</v>
      </c>
      <c r="H14" s="31"/>
    </row>
    <row r="15" spans="1:11" x14ac:dyDescent="0.2">
      <c r="A15" s="8" t="s">
        <v>18</v>
      </c>
      <c r="B15" s="24">
        <v>1396.7</v>
      </c>
      <c r="C15" s="24">
        <v>436.4</v>
      </c>
      <c r="D15" s="24">
        <v>442.3</v>
      </c>
      <c r="E15" s="24">
        <v>68.8</v>
      </c>
      <c r="F15" s="24">
        <v>152.30000000000001</v>
      </c>
      <c r="G15" s="28">
        <v>290.10000000000002</v>
      </c>
      <c r="H15" s="31"/>
    </row>
    <row r="16" spans="1:11" x14ac:dyDescent="0.2">
      <c r="A16" s="8" t="s">
        <v>19</v>
      </c>
      <c r="B16" s="24">
        <v>682.8</v>
      </c>
      <c r="C16" s="24">
        <v>269.8</v>
      </c>
      <c r="D16" s="24">
        <v>247.4</v>
      </c>
      <c r="E16" s="24">
        <v>30.3</v>
      </c>
      <c r="F16" s="24">
        <v>47.9</v>
      </c>
      <c r="G16" s="28">
        <v>85.8</v>
      </c>
      <c r="H16" s="31"/>
    </row>
    <row r="17" spans="1:8" x14ac:dyDescent="0.2">
      <c r="A17" s="8" t="s">
        <v>20</v>
      </c>
      <c r="B17" s="24">
        <v>1105.2</v>
      </c>
      <c r="C17" s="24">
        <v>542.70000000000005</v>
      </c>
      <c r="D17" s="24">
        <v>422.5</v>
      </c>
      <c r="E17" s="24">
        <v>34.700000000000003</v>
      </c>
      <c r="F17" s="24">
        <v>40</v>
      </c>
      <c r="G17" s="28">
        <v>58.6</v>
      </c>
      <c r="H17" s="31"/>
    </row>
    <row r="18" spans="1:8" x14ac:dyDescent="0.2">
      <c r="A18" s="14"/>
      <c r="B18" s="34" t="s">
        <v>21</v>
      </c>
      <c r="C18" s="34" t="s">
        <v>24</v>
      </c>
      <c r="D18" s="34" t="s">
        <v>22</v>
      </c>
      <c r="E18" s="34" t="s">
        <v>24</v>
      </c>
      <c r="F18" s="34" t="s">
        <v>23</v>
      </c>
      <c r="G18" s="34" t="s">
        <v>24</v>
      </c>
      <c r="H18" s="9"/>
    </row>
    <row r="19" spans="1:8" x14ac:dyDescent="0.2">
      <c r="A19" s="18" t="s">
        <v>5</v>
      </c>
      <c r="B19" s="13">
        <f>C7</f>
        <v>2862.7</v>
      </c>
      <c r="C19" s="10"/>
      <c r="D19" s="13">
        <f>D7+E7</f>
        <v>3628</v>
      </c>
      <c r="E19" s="10"/>
      <c r="F19" s="13">
        <f>F7+G7</f>
        <v>11653.2</v>
      </c>
      <c r="G19" s="10"/>
      <c r="H19" s="9"/>
    </row>
    <row r="20" spans="1:8" x14ac:dyDescent="0.2">
      <c r="A20" s="8" t="s">
        <v>11</v>
      </c>
      <c r="B20" s="13">
        <f>C8</f>
        <v>3.6</v>
      </c>
      <c r="C20" s="25">
        <f>B20/$B$19</f>
        <v>1.257554057358438E-3</v>
      </c>
      <c r="D20" s="13">
        <f>D8+E8</f>
        <v>1.2</v>
      </c>
      <c r="E20" s="25">
        <f>D20/$D$19</f>
        <v>3.3076074972436602E-4</v>
      </c>
      <c r="F20" s="13">
        <f>F8+G8</f>
        <v>25.6</v>
      </c>
      <c r="G20" s="25">
        <f>F20/$F$19</f>
        <v>2.1968214739299077E-3</v>
      </c>
      <c r="H20" s="9"/>
    </row>
    <row r="21" spans="1:8" x14ac:dyDescent="0.2">
      <c r="A21" s="8" t="s">
        <v>12</v>
      </c>
      <c r="B21" s="13">
        <f>C9</f>
        <v>35.700000000000003</v>
      </c>
      <c r="C21" s="25">
        <f>B21/$B$19</f>
        <v>1.2470744402137844E-2</v>
      </c>
      <c r="D21" s="13">
        <f>D9+E9</f>
        <v>61.7</v>
      </c>
      <c r="E21" s="25">
        <f>D21/$D$19</f>
        <v>1.7006615214994487E-2</v>
      </c>
      <c r="F21" s="13">
        <f>F9+G9</f>
        <v>435.9</v>
      </c>
      <c r="G21" s="25">
        <f t="shared" ref="G21:G29" si="0">F21/$F$19</f>
        <v>3.7406034393986196E-2</v>
      </c>
      <c r="H21" s="9"/>
    </row>
    <row r="22" spans="1:8" x14ac:dyDescent="0.2">
      <c r="A22" s="8" t="s">
        <v>13</v>
      </c>
      <c r="B22" s="13">
        <f t="shared" ref="B22:B29" si="1">C10</f>
        <v>131.30000000000001</v>
      </c>
      <c r="C22" s="25">
        <f t="shared" ref="C22:C29" si="2">B22/$B$19</f>
        <v>4.5865791036434143E-2</v>
      </c>
      <c r="D22" s="13">
        <f t="shared" ref="D22:D29" si="3">D10+E10</f>
        <v>198.7</v>
      </c>
      <c r="E22" s="25">
        <f t="shared" ref="E22:E29" si="4">D22/$D$19</f>
        <v>5.4768467475192942E-2</v>
      </c>
      <c r="F22" s="13">
        <f t="shared" ref="F22:F29" si="5">F10+G10</f>
        <v>1597.6000000000001</v>
      </c>
      <c r="G22" s="25">
        <f t="shared" si="0"/>
        <v>0.13709539010743829</v>
      </c>
      <c r="H22" s="9"/>
    </row>
    <row r="23" spans="1:8" x14ac:dyDescent="0.2">
      <c r="A23" s="8" t="s">
        <v>14</v>
      </c>
      <c r="B23" s="13">
        <f t="shared" si="1"/>
        <v>192.7</v>
      </c>
      <c r="C23" s="25">
        <f t="shared" si="2"/>
        <v>6.7314074125825268E-2</v>
      </c>
      <c r="D23" s="13">
        <f t="shared" si="3"/>
        <v>339.29999999999995</v>
      </c>
      <c r="E23" s="25">
        <f t="shared" si="4"/>
        <v>9.3522601984564482E-2</v>
      </c>
      <c r="F23" s="13">
        <f t="shared" si="5"/>
        <v>2963.8</v>
      </c>
      <c r="G23" s="25">
        <f t="shared" si="0"/>
        <v>0.25433357361068204</v>
      </c>
      <c r="H23" s="9"/>
    </row>
    <row r="24" spans="1:8" x14ac:dyDescent="0.2">
      <c r="A24" s="8" t="s">
        <v>15</v>
      </c>
      <c r="B24" s="13">
        <f t="shared" si="1"/>
        <v>452</v>
      </c>
      <c r="C24" s="25">
        <f t="shared" si="2"/>
        <v>0.15789289831278164</v>
      </c>
      <c r="D24" s="13">
        <f t="shared" si="3"/>
        <v>793.9</v>
      </c>
      <c r="E24" s="25">
        <f t="shared" si="4"/>
        <v>0.21882579933847848</v>
      </c>
      <c r="F24" s="13">
        <f t="shared" si="5"/>
        <v>3727.7</v>
      </c>
      <c r="G24" s="25">
        <f t="shared" si="0"/>
        <v>0.31988638313939516</v>
      </c>
      <c r="H24" s="9"/>
    </row>
    <row r="25" spans="1:8" x14ac:dyDescent="0.2">
      <c r="A25" s="8" t="s">
        <v>16</v>
      </c>
      <c r="B25" s="13">
        <f t="shared" si="1"/>
        <v>407</v>
      </c>
      <c r="C25" s="25">
        <f t="shared" si="2"/>
        <v>0.14217347259580118</v>
      </c>
      <c r="D25" s="13">
        <f t="shared" si="3"/>
        <v>508.5</v>
      </c>
      <c r="E25" s="25">
        <f t="shared" si="4"/>
        <v>0.1401598676957001</v>
      </c>
      <c r="F25" s="13">
        <f>F13+G13</f>
        <v>1417.6999999999998</v>
      </c>
      <c r="G25" s="25">
        <f t="shared" si="0"/>
        <v>0.12165757045275115</v>
      </c>
      <c r="H25" s="9"/>
    </row>
    <row r="26" spans="1:8" x14ac:dyDescent="0.2">
      <c r="A26" s="8" t="s">
        <v>17</v>
      </c>
      <c r="B26" s="13">
        <f t="shared" si="1"/>
        <v>391.6</v>
      </c>
      <c r="C26" s="25">
        <f t="shared" si="2"/>
        <v>0.13679393579487897</v>
      </c>
      <c r="D26" s="13">
        <f t="shared" si="3"/>
        <v>478.70000000000005</v>
      </c>
      <c r="E26" s="25">
        <f t="shared" si="4"/>
        <v>0.13194597574421171</v>
      </c>
      <c r="F26" s="13">
        <f t="shared" si="5"/>
        <v>810.3</v>
      </c>
      <c r="G26" s="25">
        <f t="shared" si="0"/>
        <v>6.9534548450211092E-2</v>
      </c>
      <c r="H26" s="9"/>
    </row>
    <row r="27" spans="1:8" x14ac:dyDescent="0.2">
      <c r="A27" s="8" t="s">
        <v>18</v>
      </c>
      <c r="B27" s="13">
        <f t="shared" si="1"/>
        <v>436.4</v>
      </c>
      <c r="C27" s="25">
        <f t="shared" si="2"/>
        <v>0.15244349739756174</v>
      </c>
      <c r="D27" s="13">
        <f t="shared" si="3"/>
        <v>511.1</v>
      </c>
      <c r="E27" s="25">
        <f t="shared" si="4"/>
        <v>0.14087651598676956</v>
      </c>
      <c r="F27" s="13">
        <f t="shared" si="5"/>
        <v>442.40000000000003</v>
      </c>
      <c r="G27" s="25">
        <f t="shared" si="0"/>
        <v>3.796382109635122E-2</v>
      </c>
      <c r="H27" s="9"/>
    </row>
    <row r="28" spans="1:8" x14ac:dyDescent="0.2">
      <c r="A28" s="11" t="s">
        <v>19</v>
      </c>
      <c r="B28" s="13">
        <f t="shared" si="1"/>
        <v>269.8</v>
      </c>
      <c r="C28" s="25">
        <f t="shared" si="2"/>
        <v>9.4246690187585164E-2</v>
      </c>
      <c r="D28" s="13">
        <f t="shared" si="3"/>
        <v>277.7</v>
      </c>
      <c r="E28" s="25">
        <f t="shared" si="4"/>
        <v>7.6543550165380378E-2</v>
      </c>
      <c r="F28" s="13">
        <f t="shared" si="5"/>
        <v>133.69999999999999</v>
      </c>
      <c r="G28" s="25">
        <f t="shared" si="0"/>
        <v>1.1473243400954243E-2</v>
      </c>
      <c r="H28" s="9"/>
    </row>
    <row r="29" spans="1:8" x14ac:dyDescent="0.2">
      <c r="A29" s="22" t="s">
        <v>20</v>
      </c>
      <c r="B29" s="13">
        <f t="shared" si="1"/>
        <v>542.70000000000005</v>
      </c>
      <c r="C29" s="25">
        <f t="shared" si="2"/>
        <v>0.18957627414678455</v>
      </c>
      <c r="D29" s="13">
        <f>D17+E17</f>
        <v>457.2</v>
      </c>
      <c r="E29" s="25">
        <f t="shared" si="4"/>
        <v>0.12601984564498345</v>
      </c>
      <c r="F29" s="13">
        <f t="shared" si="5"/>
        <v>98.6</v>
      </c>
      <c r="G29" s="25">
        <f t="shared" si="0"/>
        <v>8.4611952081831594E-3</v>
      </c>
      <c r="H29" s="9"/>
    </row>
    <row r="30" spans="1:8" x14ac:dyDescent="0.2">
      <c r="A30" s="23"/>
      <c r="B30" s="10"/>
      <c r="C30" s="25">
        <f>SUM(C20:C29)</f>
        <v>1.0000349320571489</v>
      </c>
      <c r="D30" s="10"/>
      <c r="E30" s="25">
        <f>SUM(E20:E29)</f>
        <v>1</v>
      </c>
      <c r="F30" s="10"/>
      <c r="G30" s="25">
        <f>SUM(G20:G29)</f>
        <v>1.0000085813338824</v>
      </c>
      <c r="H30" s="9"/>
    </row>
    <row r="31" spans="1:8" x14ac:dyDescent="0.2">
      <c r="A31" s="21" t="s">
        <v>25</v>
      </c>
      <c r="B31" s="34" t="s">
        <v>21</v>
      </c>
      <c r="C31" s="21"/>
      <c r="D31" s="34" t="s">
        <v>22</v>
      </c>
      <c r="E31" s="21"/>
      <c r="F31" s="34" t="s">
        <v>23</v>
      </c>
      <c r="G31" s="21"/>
      <c r="H31" s="9"/>
    </row>
    <row r="32" spans="1:8" x14ac:dyDescent="0.2">
      <c r="A32" s="19">
        <v>25</v>
      </c>
      <c r="B32" s="10"/>
      <c r="C32" s="32">
        <f>C20*A32</f>
        <v>3.1438851433960947E-2</v>
      </c>
      <c r="D32" s="32"/>
      <c r="E32" s="32">
        <f>E20*A32</f>
        <v>8.2690187431091501E-3</v>
      </c>
      <c r="F32" s="32"/>
      <c r="G32" s="32">
        <f>G20*A32</f>
        <v>5.4920536848247693E-2</v>
      </c>
      <c r="H32" s="9"/>
    </row>
    <row r="33" spans="1:8" x14ac:dyDescent="0.2">
      <c r="A33" s="8">
        <v>38</v>
      </c>
      <c r="B33" s="10"/>
      <c r="C33" s="32">
        <f>C21*A33</f>
        <v>0.47388828728123811</v>
      </c>
      <c r="D33" s="32"/>
      <c r="E33" s="32">
        <f>E21*A33</f>
        <v>0.6462513781697905</v>
      </c>
      <c r="F33" s="32"/>
      <c r="G33" s="32">
        <f>G21*A33</f>
        <v>1.4214293069714754</v>
      </c>
      <c r="H33" s="9"/>
    </row>
    <row r="34" spans="1:8" x14ac:dyDescent="0.2">
      <c r="A34" s="8">
        <v>53</v>
      </c>
      <c r="B34" s="10"/>
      <c r="C34" s="32">
        <f>C22*A34</f>
        <v>2.4308869249310097</v>
      </c>
      <c r="D34" s="32"/>
      <c r="E34" s="32">
        <f t="shared" ref="E34:E41" si="6">E22*A34</f>
        <v>2.9027287761852261</v>
      </c>
      <c r="F34" s="32"/>
      <c r="G34" s="32">
        <f t="shared" ref="G34:G41" si="7">G22*A34</f>
        <v>7.2660556756942292</v>
      </c>
      <c r="H34" s="9"/>
    </row>
    <row r="35" spans="1:8" x14ac:dyDescent="0.2">
      <c r="A35" s="8">
        <v>68</v>
      </c>
      <c r="B35" s="10"/>
      <c r="C35" s="32">
        <f>C23*A35</f>
        <v>4.5773570405561186</v>
      </c>
      <c r="D35" s="32"/>
      <c r="E35" s="32">
        <f t="shared" si="6"/>
        <v>6.359536934950385</v>
      </c>
      <c r="F35" s="32"/>
      <c r="G35" s="32">
        <f t="shared" si="7"/>
        <v>17.29468300552638</v>
      </c>
      <c r="H35" s="9"/>
    </row>
    <row r="36" spans="1:8" x14ac:dyDescent="0.2">
      <c r="A36" s="8">
        <v>83</v>
      </c>
      <c r="B36" s="10"/>
      <c r="C36" s="32">
        <f>C24*A36</f>
        <v>13.105110559960876</v>
      </c>
      <c r="D36" s="32"/>
      <c r="E36" s="32">
        <f t="shared" si="6"/>
        <v>18.162541345093715</v>
      </c>
      <c r="F36" s="32"/>
      <c r="G36" s="32">
        <f t="shared" si="7"/>
        <v>26.550569800569797</v>
      </c>
      <c r="H36" s="9"/>
    </row>
    <row r="37" spans="1:8" x14ac:dyDescent="0.2">
      <c r="A37" s="8">
        <v>98</v>
      </c>
      <c r="B37" s="10"/>
      <c r="C37" s="32">
        <f>C25*A37</f>
        <v>13.933000314388515</v>
      </c>
      <c r="D37" s="32"/>
      <c r="E37" s="32">
        <f t="shared" si="6"/>
        <v>13.73566703417861</v>
      </c>
      <c r="F37" s="32"/>
      <c r="G37" s="32">
        <f t="shared" si="7"/>
        <v>11.922441904369613</v>
      </c>
      <c r="H37" s="9"/>
    </row>
    <row r="38" spans="1:8" x14ac:dyDescent="0.2">
      <c r="A38" s="8">
        <v>113</v>
      </c>
      <c r="B38" s="10"/>
      <c r="C38" s="32">
        <f>C26*A38</f>
        <v>15.457714744821324</v>
      </c>
      <c r="D38" s="32"/>
      <c r="E38" s="32">
        <f t="shared" si="6"/>
        <v>14.909895259095924</v>
      </c>
      <c r="F38" s="32"/>
      <c r="G38" s="32">
        <f t="shared" si="7"/>
        <v>7.8574039748738533</v>
      </c>
      <c r="H38" s="9"/>
    </row>
    <row r="39" spans="1:8" x14ac:dyDescent="0.2">
      <c r="A39" s="8">
        <v>135</v>
      </c>
      <c r="B39" s="15"/>
      <c r="C39" s="33">
        <f>C27*A39</f>
        <v>20.579872148670834</v>
      </c>
      <c r="D39" s="33"/>
      <c r="E39" s="32">
        <f t="shared" si="6"/>
        <v>19.01832965821389</v>
      </c>
      <c r="F39" s="33"/>
      <c r="G39" s="32">
        <f t="shared" si="7"/>
        <v>5.1251158480074146</v>
      </c>
    </row>
    <row r="40" spans="1:8" x14ac:dyDescent="0.2">
      <c r="A40" s="11">
        <v>165</v>
      </c>
      <c r="B40" s="16"/>
      <c r="C40" s="35">
        <f>C28*A40</f>
        <v>15.550703880951552</v>
      </c>
      <c r="D40" s="35"/>
      <c r="E40" s="36">
        <f t="shared" si="6"/>
        <v>12.629685777287762</v>
      </c>
      <c r="F40" s="35"/>
      <c r="G40" s="36">
        <f t="shared" si="7"/>
        <v>1.8930851611574502</v>
      </c>
    </row>
    <row r="41" spans="1:8" ht="16" thickBot="1" x14ac:dyDescent="0.25">
      <c r="A41" s="20">
        <v>190</v>
      </c>
      <c r="B41" s="12"/>
      <c r="C41" s="36">
        <f>C29*A41</f>
        <v>36.019492087889063</v>
      </c>
      <c r="D41" s="36"/>
      <c r="E41" s="36">
        <f t="shared" si="6"/>
        <v>23.943770672546854</v>
      </c>
      <c r="F41" s="36"/>
      <c r="G41" s="36">
        <f t="shared" si="7"/>
        <v>1.6076270895548004</v>
      </c>
    </row>
    <row r="42" spans="1:8" ht="23" thickBot="1" x14ac:dyDescent="0.35">
      <c r="A42" s="23"/>
      <c r="B42" s="37" t="s">
        <v>26</v>
      </c>
      <c r="C42" s="38">
        <f>SUM(C32:C41)</f>
        <v>122.15946484088448</v>
      </c>
      <c r="D42" s="39"/>
      <c r="E42" s="38">
        <f>SUM(E32:E41)</f>
        <v>112.31667585446527</v>
      </c>
      <c r="F42" s="39"/>
      <c r="G42" s="40">
        <f>SUM(G32:G41)</f>
        <v>80.99333230357324</v>
      </c>
    </row>
    <row r="44" spans="1:8" x14ac:dyDescent="0.2">
      <c r="A44" t="s">
        <v>27</v>
      </c>
      <c r="B44" t="s">
        <v>28</v>
      </c>
    </row>
  </sheetData>
  <mergeCells count="5">
    <mergeCell ref="A1:K1"/>
    <mergeCell ref="A2:K2"/>
    <mergeCell ref="A3:K3"/>
    <mergeCell ref="A4:K4"/>
    <mergeCell ref="A5:K5"/>
  </mergeCells>
  <pageMargins left="0.7" right="0.7" top="0.75" bottom="0.75" header="0.3" footer="0.3"/>
  <pageSetup paperSize="9" orientation="portrait" horizontalDpi="0" verticalDpi="0"/>
  <ignoredErrors>
    <ignoredError sqref="E20:E21 E22:E2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tabla-0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Marita Leirdal</cp:lastModifiedBy>
  <dcterms:created xsi:type="dcterms:W3CDTF">2025-09-22T10:02:09Z</dcterms:created>
  <dcterms:modified xsi:type="dcterms:W3CDTF">2026-03-17T18:26:27Z</dcterms:modified>
</cp:coreProperties>
</file>